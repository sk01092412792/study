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6924"/>
  <workbookPr codeName="ThisWorkbook" defaultThemeVersion="124226"/>
  <mc:AlternateContent xmlns:mc="http://schemas.openxmlformats.org/markup-compatibility/2006">
    <mc:Choice Requires="x15">
      <x15ac:absPath xmlns:x15ac="http://schemas.microsoft.com/office/spreadsheetml/2010/11/ac" url="C:\Users\kryonoh1\Desktop\ABB document\Contractor\업체평가\"/>
    </mc:Choice>
  </mc:AlternateContent>
  <xr:revisionPtr revIDLastSave="0" documentId="8_{BCBB57CC-6CDC-4FE6-AF07-10D525493E5F}" xr6:coauthVersionLast="47" xr6:coauthVersionMax="47" xr10:uidLastSave="{00000000-0000-0000-0000-000000000000}"/>
  <bookViews>
    <workbookView xWindow="-108" yWindow="-108" windowWidth="23256" windowHeight="13896" tabRatio="808" firstSheet="3" activeTab="4" xr2:uid="{00000000-000D-0000-FFFF-FFFF00000000}"/>
  </bookViews>
  <sheets>
    <sheet name="Supplier Evaluation" sheetId="8" state="hidden" r:id="rId1"/>
    <sheet name="Process Monitoring" sheetId="4" state="hidden" r:id="rId2"/>
    <sheet name="Supplier Assessment" sheetId="19" state="hidden" r:id="rId3"/>
    <sheet name="Contractor Information" sheetId="20" r:id="rId4"/>
    <sheet name="HSE" sheetId="14" r:id="rId5"/>
    <sheet name="첨부.5 신규 공급사 평가 및 점검" sheetId="12" state="hidden" r:id="rId6"/>
    <sheet name="Sheet1" sheetId="18" state="hidden" r:id="rId7"/>
  </sheets>
  <externalReferences>
    <externalReference r:id="rId8"/>
    <externalReference r:id="rId9"/>
    <externalReference r:id="rId10"/>
    <externalReference r:id="rId11"/>
  </externalReferences>
  <definedNames>
    <definedName name="_1_12월배송율최종">#REF!</definedName>
    <definedName name="_2월배송율">#REF!</definedName>
    <definedName name="_2鱭迌ǒꐶ䧮䬢_빼菺쑅怀㊅蒵鬰伏ꐁ_ﻰ뿏哜痆䈜琼䁒鲥†_舂₀_Ȉኻ撁_⼃萀駥끾㏹_ﵒ_萀件쨽_⼏䟵₂냴憼꿍깧_xdbac_歳й⼍饳砺븫ﲻ㌸랻떎嫃缊_輿鷄쿊____鬣㙐_ᅿ㞧걶倃꾮">[1]!conb90</definedName>
    <definedName name="_Key1" hidden="1">'[1]#REF'!$C$82</definedName>
    <definedName name="_Order1" hidden="1">255</definedName>
    <definedName name="_Sort" hidden="1">'[1]#REF'!$C$82:$F$99</definedName>
    <definedName name="a">'[1]9-1차이내역'!#REF!</definedName>
    <definedName name="as">'[1]9-1차이내역'!#REF!</definedName>
    <definedName name="asdf">'[1]9-1차이내역'!#REF!</definedName>
    <definedName name="bcrclcl100rt">'[1]9-1차이내역'!#REF!</definedName>
    <definedName name="bcrclcl100rtrkrk">'[1]9-1차이내역'!#REF!</definedName>
    <definedName name="BLPICKUP">#REF!</definedName>
    <definedName name="BL인수">#REF!</definedName>
    <definedName name="conb1">[1]!conb1</definedName>
    <definedName name="conb10">[1]!conb10</definedName>
    <definedName name="conb100">[1]!conb100</definedName>
    <definedName name="conb101">[1]!conb101</definedName>
    <definedName name="conb102">[1]!conb102</definedName>
    <definedName name="conb103">[1]!conb103</definedName>
    <definedName name="conb104">[1]!conb104</definedName>
    <definedName name="conb105">[1]!conb105</definedName>
    <definedName name="conb106">[1]!conb106</definedName>
    <definedName name="conb107">[1]!conb107</definedName>
    <definedName name="conb108">[1]!conb108</definedName>
    <definedName name="conb109">[1]!conb109</definedName>
    <definedName name="conb11">[1]!conb11</definedName>
    <definedName name="conb110">[1]!conb110</definedName>
    <definedName name="conb111">[1]!conb111</definedName>
    <definedName name="conb112">[1]!conb112</definedName>
    <definedName name="conb113">[1]!conb113</definedName>
    <definedName name="conb114">[1]!conb114</definedName>
    <definedName name="conb115">[1]!conb115</definedName>
    <definedName name="conb116">[1]!conb116</definedName>
    <definedName name="conb117">[1]!conb117</definedName>
    <definedName name="conb118">[1]!conb118</definedName>
    <definedName name="conb119">[1]!conb119</definedName>
    <definedName name="conb12">[1]!conb12</definedName>
    <definedName name="conb120">[1]!conb120</definedName>
    <definedName name="conb121">[1]!conb121</definedName>
    <definedName name="conb13">[1]!conb13</definedName>
    <definedName name="conb14">[1]!conb14</definedName>
    <definedName name="conb15">[1]!conb15</definedName>
    <definedName name="conb16">[1]!conb16</definedName>
    <definedName name="conb17">[1]!conb17</definedName>
    <definedName name="conb18">[1]!conb18</definedName>
    <definedName name="conb19">[1]!conb19</definedName>
    <definedName name="conb2">[1]!conb2</definedName>
    <definedName name="conb20">[1]!conb20</definedName>
    <definedName name="conb21">[1]!conb21</definedName>
    <definedName name="conb22">[1]!conb22</definedName>
    <definedName name="conb23">[1]!conb23</definedName>
    <definedName name="conb24">[1]!conb24</definedName>
    <definedName name="conb25">[1]!conb25</definedName>
    <definedName name="conb26">[1]!conb26</definedName>
    <definedName name="conb27">[1]!conb27</definedName>
    <definedName name="conb28">[1]!conb28</definedName>
    <definedName name="conb29">[1]!conb29</definedName>
    <definedName name="conb3">[1]!conb3</definedName>
    <definedName name="conb30">[1]!conb30</definedName>
    <definedName name="conb31">[1]!conb31</definedName>
    <definedName name="conb33">[1]!conb33</definedName>
    <definedName name="conb34">[1]!conb34</definedName>
    <definedName name="conb36">[1]!conb36</definedName>
    <definedName name="conb37">[1]!conb37</definedName>
    <definedName name="conb38">[1]!conb38</definedName>
    <definedName name="conb39">[1]!conb39</definedName>
    <definedName name="conb4">[1]!conb4</definedName>
    <definedName name="conb40">[1]!conb40</definedName>
    <definedName name="conb41">[1]!conb41</definedName>
    <definedName name="conb42">[1]!conb42</definedName>
    <definedName name="conb43">[1]!conb43</definedName>
    <definedName name="conb44">[1]!conb44</definedName>
    <definedName name="conb45">[1]!conb45</definedName>
    <definedName name="conb46">[1]!conb46</definedName>
    <definedName name="conb47">[1]!conb47</definedName>
    <definedName name="conb48">[1]!conb48</definedName>
    <definedName name="conb49">[1]!conb49</definedName>
    <definedName name="conb5">[1]!conb5</definedName>
    <definedName name="conb50">[1]!conb50</definedName>
    <definedName name="conb51">[1]!conb51</definedName>
    <definedName name="conb52">[1]!conb52</definedName>
    <definedName name="conb53">[1]!conb53</definedName>
    <definedName name="conb54">[1]!conb54</definedName>
    <definedName name="conb55">[1]!conb55</definedName>
    <definedName name="conb58">[1]!conb58</definedName>
    <definedName name="conb59">[1]!conb59</definedName>
    <definedName name="conb6">[1]!conb6</definedName>
    <definedName name="conb60">[1]!conb60</definedName>
    <definedName name="conb61">[1]!conb61</definedName>
    <definedName name="conb62">[1]!conb62</definedName>
    <definedName name="conb63">[1]!conb63</definedName>
    <definedName name="conb64">[1]!conb64</definedName>
    <definedName name="conb65">[1]!conb65</definedName>
    <definedName name="conb66">[1]!conb66</definedName>
    <definedName name="conb67">[1]!conb67</definedName>
    <definedName name="conb68">[1]!conb68</definedName>
    <definedName name="conb69">[1]!conb69</definedName>
    <definedName name="conb7">[1]!conb7</definedName>
    <definedName name="conb70">[1]!conb70</definedName>
    <definedName name="conb71">[1]!conb71</definedName>
    <definedName name="conb72">[1]!conb72</definedName>
    <definedName name="conb73">[1]!conb73</definedName>
    <definedName name="conb74">[1]!conb74</definedName>
    <definedName name="conb75">[1]!conb75</definedName>
    <definedName name="conb76">[1]!conb76</definedName>
    <definedName name="conb77">[1]!conb77</definedName>
    <definedName name="conb78">[1]!conb78</definedName>
    <definedName name="conb79">[1]!conb79</definedName>
    <definedName name="conb8">[1]!conb8</definedName>
    <definedName name="conb80">[1]!conb80</definedName>
    <definedName name="conb81">[1]!conb81</definedName>
    <definedName name="conb82">[1]!conb82</definedName>
    <definedName name="conb83">[1]!conb83</definedName>
    <definedName name="conb84">[1]!conb84</definedName>
    <definedName name="conb85">[1]!conb85</definedName>
    <definedName name="conb86">[1]!conb86</definedName>
    <definedName name="conb87">[1]!conb87</definedName>
    <definedName name="conb88">[1]!conb88</definedName>
    <definedName name="conb89">[1]!conb89</definedName>
    <definedName name="conb9">[1]!conb9</definedName>
    <definedName name="conb90">[1]!conb90</definedName>
    <definedName name="conb91">[1]!conb91</definedName>
    <definedName name="conb92">[1]!conb92</definedName>
    <definedName name="conb93">[1]!conb93</definedName>
    <definedName name="conb94">[1]!conb94</definedName>
    <definedName name="conb95">[1]!conb95</definedName>
    <definedName name="conb96">[1]!conb96</definedName>
    <definedName name="conb97">[1]!conb97</definedName>
    <definedName name="conb98">[1]!conb98</definedName>
    <definedName name="conb99">[1]!conb99</definedName>
    <definedName name="_xlnm.Database">#REF!</definedName>
    <definedName name="EDI전송">#REF!</definedName>
    <definedName name="fg1314TBTB4RTDKDKDKRT">#REF!</definedName>
    <definedName name="HOUSE">#REF!</definedName>
    <definedName name="HOUSE입력">#REF!</definedName>
    <definedName name="HTML_CodePage" hidden="1">949</definedName>
    <definedName name="HTML_Control" localSheetId="5">{"'01'!$A$1:$BO$43"}</definedName>
    <definedName name="HTML_Control" hidden="1">{"'01'!$A$1:$BO$43"}</definedName>
    <definedName name="HTML_Description" hidden="1">""</definedName>
    <definedName name="HTML_Email" hidden="1">""</definedName>
    <definedName name="HTML_Header" hidden="1">""</definedName>
    <definedName name="HTML_LastUpdate" hidden="1">"99/11/16"</definedName>
    <definedName name="HTML_LineAfter" hidden="1">FALSE</definedName>
    <definedName name="HTML_LineBefore" hidden="1">FALSE</definedName>
    <definedName name="HTML_Name" hidden="1">"안창우"</definedName>
    <definedName name="HTML_OBDlg2" hidden="1">TRUE</definedName>
    <definedName name="HTML_OBDlg4" hidden="1">TRUE</definedName>
    <definedName name="HTML_OS" hidden="1">0</definedName>
    <definedName name="HTML_PathFile" hidden="1">"C:\MyDocuments\조직비교\MyHTML.htm"</definedName>
    <definedName name="HTML_Title" hidden="1">"現代 對 大通"</definedName>
    <definedName name="PRE접수">#REF!</definedName>
    <definedName name="_xlnm.Print_Area" localSheetId="4">HSE!$A$1:$X$78</definedName>
    <definedName name="_xlnm.Print_Area" localSheetId="2">'Supplier Assessment'!$A$1:$H$82</definedName>
    <definedName name="_xlnm.Print_Area" localSheetId="0">'Supplier Evaluation'!$B$1:$G$37</definedName>
    <definedName name="_xlnm.Print_Area" localSheetId="5">'첨부.5 신규 공급사 평가 및 점검'!$A$1:$G$48</definedName>
    <definedName name="_xlnm.Print_Titles">#REF!</definedName>
    <definedName name="Q91A">#REF!</definedName>
    <definedName name="q91b">#REF!</definedName>
    <definedName name="qnwjrgkqtkgkd">#REF!</definedName>
    <definedName name="가격조사수입">#REF!</definedName>
    <definedName name="감사보고서">#REF!</definedName>
    <definedName name="개발1" localSheetId="5">{"'01'!$A$1:$BO$43"}</definedName>
    <definedName name="개발1" hidden="1">{"'01'!$A$1:$BO$43"}</definedName>
    <definedName name="견적서제출.">#REF!</definedName>
    <definedName name="견적서제출아님">#REF!</definedName>
    <definedName name="결과보고">#REF!</definedName>
    <definedName name="결손금">'[1]#REF'!#REF!</definedName>
    <definedName name="계산서">#REF!</definedName>
    <definedName name="계약서변경수입">#REF!</definedName>
    <definedName name="고객상담일지수입">#REF!</definedName>
    <definedName name="골라인쇄">[1]!골라인쇄</definedName>
    <definedName name="관리카드3" localSheetId="5">{"'01'!$A$1:$BO$43"}</definedName>
    <definedName name="관리카드3" hidden="1">{"'01'!$A$1:$BO$43"}</definedName>
    <definedName name="구두계약변경">'[2]Process-Map(수출)'!#REF!</definedName>
    <definedName name="기공문" localSheetId="5">{"'01'!$A$1:$BO$43"}</definedName>
    <definedName name="기공문" hidden="1">{"'01'!$A$1:$BO$43"}</definedName>
    <definedName name="ㄴ">'[1]9-1차이내역'!#REF!</definedName>
    <definedName name="ㄴㅁㅇㄹ">'[1]9-1차이내역'!#REF!</definedName>
    <definedName name="ㄴㅇㄹㄹㄴㅇㅁㅁㄴㅇㄻㄴㅇ">'[1]9-1차이내역'!#REF!</definedName>
    <definedName name="니미럴">'[1]#REF'!#REF!</definedName>
    <definedName name="등록인수">'[3]별첨4_전담운영PM(1)'!#REF!</definedName>
    <definedName name="ㄹㄻㄴㅇㄹ">'[1]9-1차이내역'!#REF!</definedName>
    <definedName name="ㅁㄴㅇㄹ">'[1]#REF'!#REF!</definedName>
    <definedName name="ㅁㄹㄹ">'[1]9-1차이내역'!#REF!</definedName>
    <definedName name="매출" localSheetId="5">{"'01'!$A$1:$BO$43"}</definedName>
    <definedName name="매출" hidden="1">{"'01'!$A$1:$BO$43"}</definedName>
    <definedName name="면장발송">#REF!</definedName>
    <definedName name="문서계약변경">'[2]Process-Map(수출)'!#REF!</definedName>
    <definedName name="문서계약수입">#REF!</definedName>
    <definedName name="문제해결">#REF!</definedName>
    <definedName name="미수금1213">'[1]9-1차이내역'!#REF!</definedName>
    <definedName name="ㅂ">'[1]9-1차이내역'!#REF!</definedName>
    <definedName name="바보">'[1]9-1차이내역'!#REF!</definedName>
    <definedName name="바보1">'[1]9-1차이내역'!#REF!</definedName>
    <definedName name="반입절차">#REF!</definedName>
    <definedName name="반입통관절차">#REF!</definedName>
    <definedName name="발송공" localSheetId="5">{"'01'!$A$1:$BO$43"}</definedName>
    <definedName name="발송공" hidden="1">{"'01'!$A$1:$BO$43"}</definedName>
    <definedName name="배송결재">'[3]별첨4_전담운영PM(1)'!#REF!</definedName>
    <definedName name="배송실적1">#REF!</definedName>
    <definedName name="번호1">'[3]별첨4_전담운영PM(1)'!#REF!</definedName>
    <definedName name="보세운송신고">#REF!</definedName>
    <definedName name="보세운송신고승인">#REF!</definedName>
    <definedName name="부적합사항">#REF!</definedName>
    <definedName name="부적합사항시정">#REF!</definedName>
    <definedName name="부적합시정조치">'[2]Process-Map(수출)'!#REF!</definedName>
    <definedName name="부지원인2" localSheetId="5">{"'01'!$A$1:$BO$43"}</definedName>
    <definedName name="부지원인2" hidden="1">{"'01'!$A$1:$BO$43"}</definedName>
    <definedName name="부진원인" localSheetId="5">{"'01'!$A$1:$BO$43"}</definedName>
    <definedName name="부진원인" hidden="1">{"'01'!$A$1:$BO$43"}</definedName>
    <definedName name="분" localSheetId="5">{"'01'!$A$1:$BO$43"}</definedName>
    <definedName name="분" hidden="1">{"'01'!$A$1:$BO$43"}</definedName>
    <definedName name="분석" localSheetId="5">{"'01'!$A$1:$BO$43"}</definedName>
    <definedName name="분석" hidden="1">{"'01'!$A$1:$BO$43"}</definedName>
    <definedName name="분석표" localSheetId="5">{"'01'!$A$1:$BO$43"}</definedName>
    <definedName name="분석표" hidden="1">{"'01'!$A$1:$BO$43"}</definedName>
    <definedName name="새로운변경" localSheetId="5">{"'01'!$A$1:$BO$43"}</definedName>
    <definedName name="새로운변경" hidden="1">{"'01'!$A$1:$BO$43"}</definedName>
    <definedName name="서면견적변경">'[2]Process-Map(수출)'!#REF!</definedName>
    <definedName name="서면견적서">'[2]Process-Map(수출)'!#REF!</definedName>
    <definedName name="서면견적수입">#REF!</definedName>
    <definedName name="선급법인세9">'[1]9-1차이내역'!#REF!</definedName>
    <definedName name="선적의뢰">#REF!</definedName>
    <definedName name="손익1" localSheetId="5">{"'01'!$A$1:$BO$43"}</definedName>
    <definedName name="손익1" hidden="1">{"'01'!$A$1:$BO$43"}</definedName>
    <definedName name="송장수령1">#REF!</definedName>
    <definedName name="수입파트너">#REF!</definedName>
    <definedName name="수입화물도착통지">#REF!</definedName>
    <definedName name="수정분" localSheetId="5">{"'01'!$A$1:$BO$43"}</definedName>
    <definedName name="수정분" hidden="1">{"'01'!$A$1:$BO$43"}</definedName>
    <definedName name="실물분류">#REF!</definedName>
    <definedName name="실적">'[3]별첨4_전담운영PM(1)'!#REF!</definedName>
    <definedName name="실적1" localSheetId="5">{"'01'!$A$1:$BO$43"}</definedName>
    <definedName name="실적1" hidden="1">{"'01'!$A$1:$BO$43"}</definedName>
    <definedName name="실적표" localSheetId="5">{"'01'!$A$1:$BO$43"}</definedName>
    <definedName name="실적표" hidden="1">{"'01'!$A$1:$BO$43"}</definedName>
    <definedName name="ㅇㅇ" localSheetId="5">{"'01'!$A$1:$BO$43"}</definedName>
    <definedName name="ㅇㅇ" hidden="1">{"'01'!$A$1:$BO$43"}</definedName>
    <definedName name="아아" localSheetId="5">{"'01'!$A$1:$BO$43"}</definedName>
    <definedName name="아아" hidden="1">{"'01'!$A$1:$BO$43"}</definedName>
    <definedName name="아아아ㅏㅇ" localSheetId="5">{"'01'!$A$1:$BO$43"}</definedName>
    <definedName name="아아아ㅏㅇ" hidden="1">{"'01'!$A$1:$BO$43"}</definedName>
    <definedName name="외상">'[1]9-1차이내역'!#REF!</definedName>
    <definedName name="용차업체">#REF!</definedName>
    <definedName name="우리홈쇼핑2월_Query">#REF!</definedName>
    <definedName name="우우" localSheetId="5">{"'01'!$A$1:$BO$43"}</definedName>
    <definedName name="우우" hidden="1">{"'01'!$A$1:$BO$43"}</definedName>
    <definedName name="운송">#REF!</definedName>
    <definedName name="운송ㅁ">'[1]9-1차이내역'!#REF!</definedName>
    <definedName name="운송명세">'[1]9-1차이내역'!#REF!</definedName>
    <definedName name="운송장">#REF!</definedName>
    <definedName name="운송장접수">#REF!</definedName>
    <definedName name="웅상요청서" localSheetId="5">{"'01'!$A$1:$BO$43"}</definedName>
    <definedName name="웅상요청서" hidden="1">{"'01'!$A$1:$BO$43"}</definedName>
    <definedName name="유무선계약수입">#REF!</definedName>
    <definedName name="이">'[1]#REF'!#REF!</definedName>
    <definedName name="이론">'[1]#REF'!#REF!</definedName>
    <definedName name="입합정보조회">#REF!</definedName>
    <definedName name="작업유형별지침서">#REF!</definedName>
    <definedName name="장기견적수입">#REF!</definedName>
    <definedName name="장기계약">'[2]Process-Map(수출)'!#REF!</definedName>
    <definedName name="장기계약변경">'[2]Process-Map(수출)'!#REF!</definedName>
    <definedName name="적하목록작성">#REF!</definedName>
    <definedName name="전송">#REF!</definedName>
    <definedName name="접수">#REF!</definedName>
    <definedName name="지점" localSheetId="5">{"'01'!$A$1:$BO$43"}</definedName>
    <definedName name="지점" hidden="1">{"'01'!$A$1:$BO$43"}</definedName>
    <definedName name="진짜살림">[1]!진짜살림</definedName>
    <definedName name="ㅊ">'[2]Process-Map(수입)'!$C$188</definedName>
    <definedName name="차량실적1">[3]차량실적1!#REF!</definedName>
    <definedName name="창고보관">#REF!</definedName>
    <definedName name="창고화물검사">#REF!</definedName>
    <definedName name="창고화물취급">#REF!</definedName>
    <definedName name="천안2" localSheetId="5">{"'01'!$A$1:$BO$43"}</definedName>
    <definedName name="천안2" hidden="1">{"'01'!$A$1:$BO$43"}</definedName>
    <definedName name="청구">#REF!</definedName>
    <definedName name="청구및정산">'[4]수입FLOW (부산사무소)'!#REF!</definedName>
    <definedName name="취소">[1]!취소</definedName>
    <definedName name="크레딧요청서수입">#REF!</definedName>
    <definedName name="크레딧요청수입">#REF!</definedName>
    <definedName name="터미널선급금2" localSheetId="5">{"'01'!$A$1:$BO$43"}</definedName>
    <definedName name="터미널선급금2" hidden="1">{"'01'!$A$1:$BO$43"}</definedName>
    <definedName name="품2" localSheetId="5">{"'01'!$A$1:$BO$43"}</definedName>
    <definedName name="품2" hidden="1">{"'01'!$A$1:$BO$43"}</definedName>
    <definedName name="품의2" localSheetId="5">{"'01'!$A$1:$BO$43"}</definedName>
    <definedName name="품의2" hidden="1">{"'01'!$A$1:$BO$43"}</definedName>
    <definedName name="해외파트너평가기준표">#REF!</definedName>
    <definedName name="現代綜合商事經由分">'[1]#REF'!#REF!</definedName>
    <definedName name="화물">'[2]Process-Map(수입)'!$C$162</definedName>
    <definedName name="화물검사">#REF!</definedName>
    <definedName name="화물도착통지">#REF!</definedName>
    <definedName name="화물선적이상유무">'[2]Process-Map(수출)'!#REF!</definedName>
    <definedName name="화주요구접수">#REF!</definedName>
    <definedName name="ㅜ">'[1]9-1차이내역'!#REF!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E3" i="20" l="1"/>
  <c r="D3" i="20"/>
  <c r="H3" i="20"/>
  <c r="Z32" i="14"/>
  <c r="AB32" i="14" s="1"/>
  <c r="Z33" i="14"/>
  <c r="AB33" i="14" s="1"/>
  <c r="Z30" i="14"/>
  <c r="AB30" i="14" s="1"/>
  <c r="Z31" i="14"/>
  <c r="AB31" i="14" s="1"/>
  <c r="Z35" i="14"/>
  <c r="AB35" i="14" s="1"/>
  <c r="Z34" i="14"/>
  <c r="AB34" i="14" s="1"/>
  <c r="Z29" i="14"/>
  <c r="AB29" i="14" s="1"/>
  <c r="Z28" i="14"/>
  <c r="AB28" i="14" s="1"/>
  <c r="Z27" i="14"/>
  <c r="AB27" i="14" s="1"/>
  <c r="Z26" i="14"/>
  <c r="AB26" i="14" s="1"/>
  <c r="Z25" i="14"/>
  <c r="AB25" i="14" s="1"/>
  <c r="Z24" i="14"/>
  <c r="AB24" i="14" s="1"/>
  <c r="Z21" i="14"/>
  <c r="AB21" i="14" s="1"/>
  <c r="Z20" i="14"/>
  <c r="AB20" i="14" s="1"/>
  <c r="Z39" i="14"/>
  <c r="H4" i="20"/>
  <c r="K4" i="20"/>
  <c r="J4" i="20"/>
  <c r="F4" i="20"/>
  <c r="E4" i="20"/>
  <c r="D4" i="20"/>
  <c r="Z47" i="14" l="1"/>
  <c r="AB47" i="14" s="1"/>
  <c r="Z46" i="14"/>
  <c r="AB46" i="14" s="1"/>
  <c r="Z45" i="14"/>
  <c r="AB45" i="14" s="1"/>
  <c r="Z76" i="14" l="1"/>
  <c r="AB76" i="14" s="1"/>
  <c r="Z75" i="14"/>
  <c r="AB75" i="14" s="1"/>
  <c r="Z74" i="14"/>
  <c r="AB74" i="14" s="1"/>
  <c r="Z73" i="14"/>
  <c r="AB73" i="14" s="1"/>
  <c r="Z68" i="14"/>
  <c r="AB68" i="14" s="1"/>
  <c r="Z67" i="14"/>
  <c r="AB67" i="14" s="1"/>
  <c r="Z66" i="14"/>
  <c r="AB66" i="14" s="1"/>
  <c r="Z65" i="14"/>
  <c r="AB65" i="14" s="1"/>
  <c r="Z60" i="14"/>
  <c r="AB60" i="14" s="1"/>
  <c r="Z59" i="14"/>
  <c r="AB59" i="14" s="1"/>
  <c r="Z58" i="14"/>
  <c r="AB58" i="14" s="1"/>
  <c r="Z57" i="14"/>
  <c r="AB57" i="14" s="1"/>
  <c r="Z56" i="14"/>
  <c r="AB56" i="14" s="1"/>
  <c r="Z55" i="14"/>
  <c r="AB55" i="14" s="1"/>
  <c r="Z54" i="14"/>
  <c r="AB54" i="14" s="1"/>
  <c r="Z53" i="14"/>
  <c r="AB53" i="14" s="1"/>
  <c r="Z52" i="14"/>
  <c r="AB52" i="14" s="1"/>
  <c r="Z44" i="14"/>
  <c r="AB44" i="14" s="1"/>
  <c r="Z43" i="14"/>
  <c r="AB43" i="14" s="1"/>
  <c r="Z42" i="14"/>
  <c r="AB42" i="14" s="1"/>
  <c r="Z41" i="14"/>
  <c r="AB41" i="14" s="1"/>
  <c r="Z40" i="14"/>
  <c r="AB40" i="14" s="1"/>
  <c r="AB39" i="14"/>
  <c r="Z15" i="14" l="1"/>
  <c r="L4" i="20" s="1"/>
  <c r="E11" i="8" l="1"/>
  <c r="F11" i="8"/>
  <c r="J68" i="19"/>
  <c r="J64" i="19"/>
  <c r="J60" i="19"/>
  <c r="J56" i="19"/>
  <c r="J52" i="19"/>
  <c r="J48" i="19"/>
  <c r="J44" i="19"/>
  <c r="J40" i="19"/>
  <c r="J36" i="19"/>
  <c r="J32" i="19"/>
  <c r="J20" i="19"/>
  <c r="J16" i="19"/>
  <c r="J12" i="19"/>
  <c r="J8" i="19"/>
  <c r="I68" i="19"/>
  <c r="I64" i="19"/>
  <c r="I60" i="19"/>
  <c r="I56" i="19"/>
  <c r="I52" i="19"/>
  <c r="I48" i="19"/>
  <c r="I44" i="19"/>
  <c r="I40" i="19"/>
  <c r="I36" i="19"/>
  <c r="I32" i="19"/>
  <c r="I20" i="19"/>
  <c r="I16" i="19"/>
  <c r="H12" i="19"/>
  <c r="I12" i="19"/>
  <c r="I8" i="19"/>
  <c r="E12" i="8" l="1"/>
  <c r="H16" i="19"/>
  <c r="H20" i="19" s="1"/>
  <c r="H32" i="19" s="1"/>
  <c r="H36" i="19" s="1"/>
  <c r="H40" i="19" s="1"/>
  <c r="H44" i="19" s="1"/>
  <c r="H48" i="19" s="1"/>
  <c r="H52" i="19" s="1"/>
  <c r="H56" i="19" s="1"/>
  <c r="H60" i="19" s="1"/>
  <c r="H64" i="19" s="1"/>
  <c r="H68" i="19" s="1"/>
  <c r="F12" i="8"/>
  <c r="G72" i="19"/>
  <c r="G73" i="19" s="1"/>
  <c r="C81" i="19" s="1"/>
  <c r="G24" i="19"/>
  <c r="G25" i="19" s="1"/>
  <c r="C80" i="19" s="1"/>
  <c r="E23" i="8" l="1"/>
  <c r="E14" i="8"/>
  <c r="F16" i="8"/>
  <c r="E13" i="8"/>
  <c r="C82" i="19"/>
  <c r="F22" i="8"/>
  <c r="E21" i="8"/>
  <c r="E24" i="8"/>
  <c r="F17" i="8"/>
  <c r="F18" i="8"/>
  <c r="E16" i="8"/>
  <c r="E19" i="8"/>
  <c r="F24" i="8"/>
  <c r="E22" i="8"/>
  <c r="F21" i="8"/>
  <c r="F19" i="8"/>
  <c r="E20" i="8"/>
  <c r="F23" i="8"/>
  <c r="F14" i="8"/>
  <c r="F13" i="8"/>
  <c r="E25" i="8"/>
  <c r="E17" i="8"/>
  <c r="F20" i="8"/>
  <c r="E18" i="8"/>
  <c r="F25" i="8"/>
  <c r="E15" i="8" l="1"/>
  <c r="F15" i="8"/>
  <c r="E26" i="8"/>
  <c r="F26" i="8"/>
  <c r="G27" i="8"/>
  <c r="F32" i="8" l="1"/>
  <c r="G32" i="8" s="1"/>
  <c r="G46" i="12"/>
  <c r="G47" i="12" s="1"/>
</calcChain>
</file>

<file path=xl/sharedStrings.xml><?xml version="1.0" encoding="utf-8"?>
<sst xmlns="http://schemas.openxmlformats.org/spreadsheetml/2006/main" count="529" uniqueCount="335">
  <si>
    <t>전문성</t>
  </si>
  <si>
    <t>사업 영업기간</t>
  </si>
  <si>
    <t>재무건전성</t>
  </si>
  <si>
    <t>대외신인도</t>
  </si>
  <si>
    <t>조직현황</t>
  </si>
  <si>
    <t>본점 및 현장 적정인원</t>
  </si>
  <si>
    <t>업무경력</t>
  </si>
  <si>
    <t>설비 및 장비</t>
  </si>
  <si>
    <t>Please fill-in below information.</t>
  </si>
  <si>
    <t>Supplier Capability</t>
  </si>
  <si>
    <t>평가 항목</t>
  </si>
  <si>
    <t>평가 세부 구분</t>
  </si>
  <si>
    <t>가중치</t>
  </si>
  <si>
    <t>Criteria</t>
  </si>
  <si>
    <t>No</t>
  </si>
  <si>
    <t>Score</t>
  </si>
  <si>
    <t>Total Score</t>
  </si>
  <si>
    <t>Conversion</t>
  </si>
  <si>
    <t>Supplier Assessment Total Score</t>
  </si>
  <si>
    <t>Category</t>
  </si>
  <si>
    <t>Remarks</t>
  </si>
  <si>
    <t>Performance</t>
  </si>
  <si>
    <t xml:space="preserve">1.Supplier Capability Assessment </t>
  </si>
  <si>
    <t xml:space="preserve">2.Supplier Performance Assessment </t>
  </si>
  <si>
    <t>Check list</t>
  </si>
  <si>
    <t>Description</t>
  </si>
  <si>
    <t>Comments</t>
  </si>
  <si>
    <r>
      <t xml:space="preserve">Answer
</t>
    </r>
    <r>
      <rPr>
        <b/>
        <sz val="8"/>
        <color indexed="9"/>
        <rFont val="Trebuchet MS"/>
        <family val="2"/>
      </rPr>
      <t>(Yes,No,N/A)</t>
    </r>
  </si>
  <si>
    <r>
      <t>승인 절차에 필요한 문서</t>
    </r>
    <r>
      <rPr>
        <sz val="10"/>
        <rFont val="Trebuchet MS"/>
        <family val="2"/>
      </rPr>
      <t xml:space="preserve">
1. 예외 입찰이 허용디는 경우 입증 문서
2. 계약 또는 구매 하기로 결정한 가격이 가장 타당한 가격임을 입증하는 문서</t>
    </r>
  </si>
  <si>
    <r>
      <t xml:space="preserve"> 15</t>
    </r>
    <r>
      <rPr>
        <sz val="11"/>
        <color indexed="8"/>
        <rFont val="돋움"/>
        <family val="3"/>
        <charset val="129"/>
      </rPr>
      <t>년</t>
    </r>
    <phoneticPr fontId="6" type="noConversion"/>
  </si>
  <si>
    <r>
      <t xml:space="preserve"> 10</t>
    </r>
    <r>
      <rPr>
        <sz val="11"/>
        <color indexed="8"/>
        <rFont val="돋움"/>
        <family val="3"/>
        <charset val="129"/>
      </rPr>
      <t>년</t>
    </r>
    <phoneticPr fontId="6" type="noConversion"/>
  </si>
  <si>
    <r>
      <t xml:space="preserve">   5</t>
    </r>
    <r>
      <rPr>
        <sz val="11"/>
        <color indexed="8"/>
        <rFont val="돋움"/>
        <family val="3"/>
        <charset val="129"/>
      </rPr>
      <t>년</t>
    </r>
    <phoneticPr fontId="6" type="noConversion"/>
  </si>
  <si>
    <r>
      <t xml:space="preserve">   3</t>
    </r>
    <r>
      <rPr>
        <sz val="11"/>
        <color indexed="8"/>
        <rFont val="돋움"/>
        <family val="3"/>
        <charset val="129"/>
      </rPr>
      <t>년</t>
    </r>
    <phoneticPr fontId="6" type="noConversion"/>
  </si>
  <si>
    <r>
      <t xml:space="preserve">   1</t>
    </r>
    <r>
      <rPr>
        <sz val="11"/>
        <color indexed="8"/>
        <rFont val="돋움"/>
        <family val="3"/>
        <charset val="129"/>
      </rPr>
      <t>년</t>
    </r>
    <phoneticPr fontId="6" type="noConversion"/>
  </si>
  <si>
    <r>
      <rPr>
        <sz val="11"/>
        <rFont val="돋움"/>
        <family val="3"/>
        <charset val="129"/>
      </rPr>
      <t>유동비율</t>
    </r>
    <r>
      <rPr>
        <sz val="11"/>
        <rFont val="Trebuchet MS"/>
        <family val="2"/>
      </rPr>
      <t xml:space="preserve"> 
(</t>
    </r>
    <r>
      <rPr>
        <sz val="11"/>
        <rFont val="돋움"/>
        <family val="3"/>
        <charset val="129"/>
      </rPr>
      <t>유동자산</t>
    </r>
    <r>
      <rPr>
        <sz val="11"/>
        <rFont val="Trebuchet MS"/>
        <family val="2"/>
      </rPr>
      <t xml:space="preserve"> /</t>
    </r>
    <r>
      <rPr>
        <sz val="11"/>
        <rFont val="돋움"/>
        <family val="3"/>
        <charset val="129"/>
      </rPr>
      <t>유동부채</t>
    </r>
    <r>
      <rPr>
        <sz val="11"/>
        <rFont val="Trebuchet MS"/>
        <family val="2"/>
      </rPr>
      <t>)x100</t>
    </r>
    <phoneticPr fontId="6" type="noConversion"/>
  </si>
  <si>
    <t xml:space="preserve"> 200% ~ </t>
    <phoneticPr fontId="6" type="noConversion"/>
  </si>
  <si>
    <t xml:space="preserve"> 180% ~ 200%</t>
    <phoneticPr fontId="6" type="noConversion"/>
  </si>
  <si>
    <t xml:space="preserve"> 160% ~ 180%</t>
    <phoneticPr fontId="6" type="noConversion"/>
  </si>
  <si>
    <t xml:space="preserve"> 140% ~ 160% </t>
    <phoneticPr fontId="6" type="noConversion"/>
  </si>
  <si>
    <t xml:space="preserve"> 120% ~ 140% </t>
    <phoneticPr fontId="6" type="noConversion"/>
  </si>
  <si>
    <r>
      <rPr>
        <sz val="11"/>
        <rFont val="돋움"/>
        <family val="3"/>
        <charset val="129"/>
      </rPr>
      <t>부채비율</t>
    </r>
    <r>
      <rPr>
        <sz val="11"/>
        <rFont val="Trebuchet MS"/>
        <family val="2"/>
      </rPr>
      <t xml:space="preserve"> 
(</t>
    </r>
    <r>
      <rPr>
        <sz val="11"/>
        <rFont val="돋움"/>
        <family val="3"/>
        <charset val="129"/>
      </rPr>
      <t>부채총액</t>
    </r>
    <r>
      <rPr>
        <sz val="11"/>
        <rFont val="Trebuchet MS"/>
        <family val="2"/>
      </rPr>
      <t>/</t>
    </r>
    <r>
      <rPr>
        <sz val="11"/>
        <rFont val="돋움"/>
        <family val="3"/>
        <charset val="129"/>
      </rPr>
      <t>자기자본</t>
    </r>
    <r>
      <rPr>
        <sz val="11"/>
        <rFont val="Trebuchet MS"/>
        <family val="2"/>
      </rPr>
      <t xml:space="preserve"> x 100)</t>
    </r>
    <phoneticPr fontId="6" type="noConversion"/>
  </si>
  <si>
    <t xml:space="preserve"> 0% ~ 200%</t>
    <phoneticPr fontId="6" type="noConversion"/>
  </si>
  <si>
    <t xml:space="preserve"> 200% ~ 220% </t>
    <phoneticPr fontId="6" type="noConversion"/>
  </si>
  <si>
    <t xml:space="preserve"> 220% ~ 240%</t>
    <phoneticPr fontId="6" type="noConversion"/>
  </si>
  <si>
    <t xml:space="preserve"> 240% ~ 260%</t>
    <phoneticPr fontId="6" type="noConversion"/>
  </si>
  <si>
    <t xml:space="preserve"> 260% ~ 280%</t>
    <phoneticPr fontId="6" type="noConversion"/>
  </si>
  <si>
    <r>
      <rPr>
        <sz val="11"/>
        <rFont val="돋움"/>
        <family val="3"/>
        <charset val="129"/>
      </rPr>
      <t xml:space="preserve">자기자본비율
</t>
    </r>
    <r>
      <rPr>
        <sz val="11"/>
        <rFont val="Trebuchet MS"/>
        <family val="2"/>
      </rPr>
      <t>(</t>
    </r>
    <r>
      <rPr>
        <sz val="11"/>
        <rFont val="돋움"/>
        <family val="3"/>
        <charset val="129"/>
      </rPr>
      <t>자기자본</t>
    </r>
    <r>
      <rPr>
        <sz val="11"/>
        <rFont val="Trebuchet MS"/>
        <family val="2"/>
      </rPr>
      <t>/</t>
    </r>
    <r>
      <rPr>
        <sz val="11"/>
        <rFont val="돋움"/>
        <family val="3"/>
        <charset val="129"/>
      </rPr>
      <t>총</t>
    </r>
    <r>
      <rPr>
        <sz val="11"/>
        <rFont val="Trebuchet MS"/>
        <family val="2"/>
      </rPr>
      <t xml:space="preserve"> </t>
    </r>
    <r>
      <rPr>
        <sz val="11"/>
        <rFont val="돋움"/>
        <family val="3"/>
        <charset val="129"/>
      </rPr>
      <t>자</t>
    </r>
    <r>
      <rPr>
        <sz val="11"/>
        <rFont val="Trebuchet MS"/>
        <family val="2"/>
      </rPr>
      <t xml:space="preserve"> </t>
    </r>
    <r>
      <rPr>
        <sz val="11"/>
        <rFont val="돋움"/>
        <family val="3"/>
        <charset val="129"/>
      </rPr>
      <t>산</t>
    </r>
    <r>
      <rPr>
        <sz val="11"/>
        <rFont val="Trebuchet MS"/>
        <family val="2"/>
      </rPr>
      <t xml:space="preserve"> x 100)</t>
    </r>
    <phoneticPr fontId="6" type="noConversion"/>
  </si>
  <si>
    <t xml:space="preserve"> 8% ~ </t>
    <phoneticPr fontId="6" type="noConversion"/>
  </si>
  <si>
    <t xml:space="preserve"> 7%</t>
    <phoneticPr fontId="6" type="noConversion"/>
  </si>
  <si>
    <t xml:space="preserve"> 6%</t>
    <phoneticPr fontId="6" type="noConversion"/>
  </si>
  <si>
    <t xml:space="preserve"> 5%</t>
    <phoneticPr fontId="6" type="noConversion"/>
  </si>
  <si>
    <t xml:space="preserve"> 4%</t>
    <phoneticPr fontId="6" type="noConversion"/>
  </si>
  <si>
    <r>
      <rPr>
        <sz val="11"/>
        <rFont val="돋움"/>
        <family val="3"/>
        <charset val="129"/>
      </rPr>
      <t>업계신용도</t>
    </r>
    <r>
      <rPr>
        <sz val="11"/>
        <rFont val="Trebuchet MS"/>
        <family val="2"/>
      </rPr>
      <t xml:space="preserve"> 
</t>
    </r>
    <r>
      <rPr>
        <sz val="11"/>
        <rFont val="돋움"/>
        <family val="3"/>
        <charset val="129"/>
      </rPr>
      <t>국내</t>
    </r>
    <r>
      <rPr>
        <sz val="11"/>
        <rFont val="Trebuchet MS"/>
        <family val="2"/>
      </rPr>
      <t xml:space="preserve"> </t>
    </r>
    <r>
      <rPr>
        <sz val="11"/>
        <rFont val="돋움"/>
        <family val="3"/>
        <charset val="129"/>
      </rPr>
      <t>외</t>
    </r>
    <r>
      <rPr>
        <sz val="11"/>
        <rFont val="Trebuchet MS"/>
        <family val="2"/>
      </rPr>
      <t xml:space="preserve"> </t>
    </r>
    <r>
      <rPr>
        <sz val="11"/>
        <rFont val="돋움"/>
        <family val="3"/>
        <charset val="129"/>
      </rPr>
      <t>계약업체</t>
    </r>
    <r>
      <rPr>
        <sz val="11"/>
        <rFont val="Trebuchet MS"/>
        <family val="2"/>
      </rPr>
      <t xml:space="preserve"> </t>
    </r>
    <r>
      <rPr>
        <sz val="11"/>
        <rFont val="돋움"/>
        <family val="3"/>
        <charset val="129"/>
      </rPr>
      <t>및</t>
    </r>
    <r>
      <rPr>
        <sz val="11"/>
        <rFont val="Trebuchet MS"/>
        <family val="2"/>
      </rPr>
      <t xml:space="preserve"> </t>
    </r>
    <r>
      <rPr>
        <sz val="11"/>
        <rFont val="돋움"/>
        <family val="3"/>
        <charset val="129"/>
      </rPr>
      <t>거래처의수</t>
    </r>
    <r>
      <rPr>
        <sz val="11"/>
        <rFont val="Trebuchet MS"/>
        <family val="2"/>
      </rPr>
      <t xml:space="preserve"> </t>
    </r>
    <phoneticPr fontId="6" type="noConversion"/>
  </si>
  <si>
    <r>
      <t xml:space="preserve"> 5</t>
    </r>
    <r>
      <rPr>
        <sz val="11"/>
        <color indexed="8"/>
        <rFont val="돋움"/>
        <family val="3"/>
        <charset val="129"/>
      </rPr>
      <t>개</t>
    </r>
    <r>
      <rPr>
        <sz val="11"/>
        <color indexed="8"/>
        <rFont val="Trebuchet MS"/>
        <family val="2"/>
      </rPr>
      <t xml:space="preserve"> </t>
    </r>
    <r>
      <rPr>
        <sz val="11"/>
        <color indexed="8"/>
        <rFont val="돋움"/>
        <family val="3"/>
        <charset val="129"/>
      </rPr>
      <t>이상</t>
    </r>
    <phoneticPr fontId="6" type="noConversion"/>
  </si>
  <si>
    <r>
      <t xml:space="preserve"> 4</t>
    </r>
    <r>
      <rPr>
        <sz val="11"/>
        <color indexed="8"/>
        <rFont val="돋움"/>
        <family val="3"/>
        <charset val="129"/>
      </rPr>
      <t>개</t>
    </r>
    <phoneticPr fontId="6" type="noConversion"/>
  </si>
  <si>
    <r>
      <t xml:space="preserve"> 3</t>
    </r>
    <r>
      <rPr>
        <sz val="11"/>
        <color indexed="8"/>
        <rFont val="돋움"/>
        <family val="3"/>
        <charset val="129"/>
      </rPr>
      <t>개</t>
    </r>
    <phoneticPr fontId="6" type="noConversion"/>
  </si>
  <si>
    <r>
      <t xml:space="preserve"> 2</t>
    </r>
    <r>
      <rPr>
        <sz val="11"/>
        <color indexed="8"/>
        <rFont val="돋움"/>
        <family val="3"/>
        <charset val="129"/>
      </rPr>
      <t>개</t>
    </r>
    <phoneticPr fontId="6" type="noConversion"/>
  </si>
  <si>
    <r>
      <t xml:space="preserve"> 1</t>
    </r>
    <r>
      <rPr>
        <sz val="11"/>
        <color indexed="8"/>
        <rFont val="돋움"/>
        <family val="3"/>
        <charset val="129"/>
      </rPr>
      <t>개</t>
    </r>
    <phoneticPr fontId="6" type="noConversion"/>
  </si>
  <si>
    <r>
      <t xml:space="preserve"> </t>
    </r>
    <r>
      <rPr>
        <sz val="11"/>
        <color indexed="8"/>
        <rFont val="돋움"/>
        <family val="3"/>
        <charset val="129"/>
      </rPr>
      <t>여유</t>
    </r>
    <r>
      <rPr>
        <sz val="11"/>
        <color indexed="8"/>
        <rFont val="Trebuchet MS"/>
        <family val="2"/>
      </rPr>
      <t xml:space="preserve"> </t>
    </r>
    <r>
      <rPr>
        <sz val="11"/>
        <color indexed="8"/>
        <rFont val="돋움"/>
        <family val="3"/>
        <charset val="129"/>
      </rPr>
      <t>인원</t>
    </r>
    <r>
      <rPr>
        <sz val="11"/>
        <color indexed="8"/>
        <rFont val="Trebuchet MS"/>
        <family val="2"/>
      </rPr>
      <t xml:space="preserve"> </t>
    </r>
    <r>
      <rPr>
        <sz val="11"/>
        <color indexed="8"/>
        <rFont val="돋움"/>
        <family val="3"/>
        <charset val="129"/>
      </rPr>
      <t>확보</t>
    </r>
    <phoneticPr fontId="6" type="noConversion"/>
  </si>
  <si>
    <r>
      <t xml:space="preserve"> </t>
    </r>
    <r>
      <rPr>
        <sz val="11"/>
        <color indexed="8"/>
        <rFont val="돋움"/>
        <family val="3"/>
        <charset val="129"/>
      </rPr>
      <t>업무특성에</t>
    </r>
    <r>
      <rPr>
        <sz val="11"/>
        <color indexed="8"/>
        <rFont val="Trebuchet MS"/>
        <family val="2"/>
      </rPr>
      <t xml:space="preserve"> </t>
    </r>
    <r>
      <rPr>
        <sz val="11"/>
        <color indexed="8"/>
        <rFont val="돋움"/>
        <family val="3"/>
        <charset val="129"/>
      </rPr>
      <t>맞게</t>
    </r>
    <r>
      <rPr>
        <sz val="11"/>
        <color indexed="8"/>
        <rFont val="Trebuchet MS"/>
        <family val="2"/>
      </rPr>
      <t xml:space="preserve"> </t>
    </r>
    <r>
      <rPr>
        <sz val="11"/>
        <color indexed="8"/>
        <rFont val="돋움"/>
        <family val="3"/>
        <charset val="129"/>
      </rPr>
      <t>적정인원</t>
    </r>
    <r>
      <rPr>
        <sz val="11"/>
        <color indexed="8"/>
        <rFont val="Trebuchet MS"/>
        <family val="2"/>
      </rPr>
      <t xml:space="preserve"> </t>
    </r>
    <r>
      <rPr>
        <sz val="11"/>
        <color indexed="8"/>
        <rFont val="돋움"/>
        <family val="3"/>
        <charset val="129"/>
      </rPr>
      <t>유지</t>
    </r>
    <phoneticPr fontId="6" type="noConversion"/>
  </si>
  <si>
    <r>
      <t xml:space="preserve"> </t>
    </r>
    <r>
      <rPr>
        <sz val="11"/>
        <color indexed="8"/>
        <rFont val="돋움"/>
        <family val="3"/>
        <charset val="129"/>
      </rPr>
      <t>인원</t>
    </r>
    <r>
      <rPr>
        <sz val="11"/>
        <color indexed="8"/>
        <rFont val="Trebuchet MS"/>
        <family val="2"/>
      </rPr>
      <t xml:space="preserve"> </t>
    </r>
    <r>
      <rPr>
        <sz val="11"/>
        <color indexed="8"/>
        <rFont val="돋움"/>
        <family val="3"/>
        <charset val="129"/>
      </rPr>
      <t>부족</t>
    </r>
    <phoneticPr fontId="6" type="noConversion"/>
  </si>
  <si>
    <r>
      <t xml:space="preserve"> </t>
    </r>
    <r>
      <rPr>
        <sz val="11"/>
        <color indexed="8"/>
        <rFont val="돋움"/>
        <family val="3"/>
        <charset val="129"/>
      </rPr>
      <t>조직</t>
    </r>
    <r>
      <rPr>
        <sz val="11"/>
        <color indexed="8"/>
        <rFont val="Trebuchet MS"/>
        <family val="2"/>
      </rPr>
      <t xml:space="preserve"> </t>
    </r>
    <r>
      <rPr>
        <sz val="11"/>
        <color indexed="8"/>
        <rFont val="돋움"/>
        <family val="3"/>
        <charset val="129"/>
      </rPr>
      <t>구성원의</t>
    </r>
    <r>
      <rPr>
        <sz val="11"/>
        <color indexed="8"/>
        <rFont val="Trebuchet MS"/>
        <family val="2"/>
      </rPr>
      <t xml:space="preserve"> </t>
    </r>
    <r>
      <rPr>
        <sz val="11"/>
        <color indexed="8"/>
        <rFont val="돋움"/>
        <family val="3"/>
        <charset val="129"/>
      </rPr>
      <t>평균</t>
    </r>
    <r>
      <rPr>
        <sz val="11"/>
        <color indexed="8"/>
        <rFont val="Trebuchet MS"/>
        <family val="2"/>
      </rPr>
      <t xml:space="preserve"> </t>
    </r>
    <r>
      <rPr>
        <sz val="11"/>
        <color indexed="8"/>
        <rFont val="돋움"/>
        <family val="3"/>
        <charset val="129"/>
      </rPr>
      <t>근무년수</t>
    </r>
    <r>
      <rPr>
        <sz val="11"/>
        <color indexed="8"/>
        <rFont val="Trebuchet MS"/>
        <family val="2"/>
      </rPr>
      <t xml:space="preserve"> 3</t>
    </r>
    <r>
      <rPr>
        <sz val="11"/>
        <color indexed="8"/>
        <rFont val="돋움"/>
        <family val="3"/>
        <charset val="129"/>
      </rPr>
      <t>년</t>
    </r>
    <r>
      <rPr>
        <sz val="11"/>
        <color indexed="8"/>
        <rFont val="Trebuchet MS"/>
        <family val="2"/>
      </rPr>
      <t xml:space="preserve"> </t>
    </r>
    <r>
      <rPr>
        <sz val="11"/>
        <color indexed="8"/>
        <rFont val="돋움"/>
        <family val="3"/>
        <charset val="129"/>
      </rPr>
      <t>이상</t>
    </r>
    <phoneticPr fontId="6" type="noConversion"/>
  </si>
  <si>
    <r>
      <t xml:space="preserve"> </t>
    </r>
    <r>
      <rPr>
        <sz val="11"/>
        <color indexed="8"/>
        <rFont val="돋움"/>
        <family val="3"/>
        <charset val="129"/>
      </rPr>
      <t>조직</t>
    </r>
    <r>
      <rPr>
        <sz val="11"/>
        <color indexed="8"/>
        <rFont val="Trebuchet MS"/>
        <family val="2"/>
      </rPr>
      <t xml:space="preserve"> </t>
    </r>
    <r>
      <rPr>
        <sz val="11"/>
        <color indexed="8"/>
        <rFont val="돋움"/>
        <family val="3"/>
        <charset val="129"/>
      </rPr>
      <t>구성원의</t>
    </r>
    <r>
      <rPr>
        <sz val="11"/>
        <color indexed="8"/>
        <rFont val="Trebuchet MS"/>
        <family val="2"/>
      </rPr>
      <t xml:space="preserve"> </t>
    </r>
    <r>
      <rPr>
        <sz val="11"/>
        <color indexed="8"/>
        <rFont val="돋움"/>
        <family val="3"/>
        <charset val="129"/>
      </rPr>
      <t>평균</t>
    </r>
    <r>
      <rPr>
        <sz val="11"/>
        <color indexed="8"/>
        <rFont val="Trebuchet MS"/>
        <family val="2"/>
      </rPr>
      <t xml:space="preserve"> </t>
    </r>
    <r>
      <rPr>
        <sz val="11"/>
        <color indexed="8"/>
        <rFont val="돋움"/>
        <family val="3"/>
        <charset val="129"/>
      </rPr>
      <t>근무년수</t>
    </r>
    <r>
      <rPr>
        <sz val="11"/>
        <color indexed="8"/>
        <rFont val="Trebuchet MS"/>
        <family val="2"/>
      </rPr>
      <t xml:space="preserve"> 1~2</t>
    </r>
    <r>
      <rPr>
        <sz val="11"/>
        <color indexed="8"/>
        <rFont val="돋움"/>
        <family val="3"/>
        <charset val="129"/>
      </rPr>
      <t>년</t>
    </r>
    <r>
      <rPr>
        <sz val="11"/>
        <color indexed="8"/>
        <rFont val="Trebuchet MS"/>
        <family val="2"/>
      </rPr>
      <t xml:space="preserve"> </t>
    </r>
    <phoneticPr fontId="6" type="noConversion"/>
  </si>
  <si>
    <r>
      <t xml:space="preserve"> 1</t>
    </r>
    <r>
      <rPr>
        <sz val="11"/>
        <color indexed="8"/>
        <rFont val="돋움"/>
        <family val="3"/>
        <charset val="129"/>
      </rPr>
      <t>년</t>
    </r>
    <r>
      <rPr>
        <sz val="11"/>
        <color indexed="8"/>
        <rFont val="Trebuchet MS"/>
        <family val="2"/>
      </rPr>
      <t xml:space="preserve"> </t>
    </r>
    <r>
      <rPr>
        <sz val="11"/>
        <color indexed="8"/>
        <rFont val="돋움"/>
        <family val="3"/>
        <charset val="129"/>
      </rPr>
      <t>미만</t>
    </r>
    <r>
      <rPr>
        <sz val="11"/>
        <color indexed="8"/>
        <rFont val="Trebuchet MS"/>
        <family val="2"/>
      </rPr>
      <t xml:space="preserve"> </t>
    </r>
    <phoneticPr fontId="6" type="noConversion"/>
  </si>
  <si>
    <r>
      <rPr>
        <sz val="11"/>
        <color theme="1"/>
        <rFont val="돋움"/>
        <family val="3"/>
        <charset val="129"/>
      </rPr>
      <t>적정설비</t>
    </r>
    <r>
      <rPr>
        <sz val="11"/>
        <color theme="1"/>
        <rFont val="Trebuchet MS"/>
        <family val="2"/>
      </rPr>
      <t xml:space="preserve"> </t>
    </r>
    <r>
      <rPr>
        <sz val="11"/>
        <color theme="1"/>
        <rFont val="돋움"/>
        <family val="3"/>
        <charset val="129"/>
      </rPr>
      <t>유지</t>
    </r>
    <phoneticPr fontId="6" type="noConversion"/>
  </si>
  <si>
    <r>
      <t xml:space="preserve"> </t>
    </r>
    <r>
      <rPr>
        <sz val="11"/>
        <color theme="1"/>
        <rFont val="돋움"/>
        <family val="3"/>
        <charset val="129"/>
      </rPr>
      <t>운영을</t>
    </r>
    <r>
      <rPr>
        <sz val="11"/>
        <color theme="1"/>
        <rFont val="Trebuchet MS"/>
        <family val="2"/>
      </rPr>
      <t xml:space="preserve"> </t>
    </r>
    <r>
      <rPr>
        <sz val="11"/>
        <color theme="1"/>
        <rFont val="돋움"/>
        <family val="3"/>
        <charset val="129"/>
      </rPr>
      <t>위한</t>
    </r>
    <r>
      <rPr>
        <sz val="11"/>
        <color theme="1"/>
        <rFont val="Trebuchet MS"/>
        <family val="2"/>
      </rPr>
      <t xml:space="preserve"> </t>
    </r>
    <r>
      <rPr>
        <sz val="11"/>
        <color theme="1"/>
        <rFont val="돋움"/>
        <family val="3"/>
        <charset val="129"/>
      </rPr>
      <t>설비</t>
    </r>
    <r>
      <rPr>
        <sz val="11"/>
        <color theme="1"/>
        <rFont val="Trebuchet MS"/>
        <family val="2"/>
      </rPr>
      <t xml:space="preserve"> </t>
    </r>
    <r>
      <rPr>
        <sz val="11"/>
        <color theme="1"/>
        <rFont val="돋움"/>
        <family val="3"/>
        <charset val="129"/>
      </rPr>
      <t>장비</t>
    </r>
    <r>
      <rPr>
        <sz val="11"/>
        <color theme="1"/>
        <rFont val="Trebuchet MS"/>
        <family val="2"/>
      </rPr>
      <t xml:space="preserve"> </t>
    </r>
    <r>
      <rPr>
        <sz val="11"/>
        <color theme="1"/>
        <rFont val="돋움"/>
        <family val="3"/>
        <charset val="129"/>
      </rPr>
      <t>전체</t>
    </r>
    <r>
      <rPr>
        <sz val="11"/>
        <color theme="1"/>
        <rFont val="Trebuchet MS"/>
        <family val="2"/>
      </rPr>
      <t xml:space="preserve"> </t>
    </r>
    <r>
      <rPr>
        <sz val="11"/>
        <color theme="1"/>
        <rFont val="돋움"/>
        <family val="3"/>
        <charset val="129"/>
      </rPr>
      <t>보유</t>
    </r>
    <r>
      <rPr>
        <sz val="11"/>
        <color theme="1"/>
        <rFont val="Trebuchet MS"/>
        <family val="2"/>
      </rPr>
      <t xml:space="preserve"> </t>
    </r>
    <phoneticPr fontId="6" type="noConversion"/>
  </si>
  <si>
    <r>
      <t xml:space="preserve"> </t>
    </r>
    <r>
      <rPr>
        <sz val="11"/>
        <color theme="1"/>
        <rFont val="돋움"/>
        <family val="3"/>
        <charset val="129"/>
      </rPr>
      <t>필요</t>
    </r>
    <r>
      <rPr>
        <sz val="11"/>
        <color theme="1"/>
        <rFont val="Trebuchet MS"/>
        <family val="2"/>
      </rPr>
      <t xml:space="preserve"> </t>
    </r>
    <r>
      <rPr>
        <sz val="11"/>
        <color theme="1"/>
        <rFont val="돋움"/>
        <family val="3"/>
        <charset val="129"/>
      </rPr>
      <t>설비</t>
    </r>
    <r>
      <rPr>
        <sz val="11"/>
        <color theme="1"/>
        <rFont val="Trebuchet MS"/>
        <family val="2"/>
      </rPr>
      <t xml:space="preserve"> </t>
    </r>
    <r>
      <rPr>
        <sz val="11"/>
        <color theme="1"/>
        <rFont val="돋움"/>
        <family val="3"/>
        <charset val="129"/>
      </rPr>
      <t>및</t>
    </r>
    <r>
      <rPr>
        <sz val="11"/>
        <color theme="1"/>
        <rFont val="Trebuchet MS"/>
        <family val="2"/>
      </rPr>
      <t xml:space="preserve"> </t>
    </r>
    <r>
      <rPr>
        <sz val="11"/>
        <color theme="1"/>
        <rFont val="돋움"/>
        <family val="3"/>
        <charset val="129"/>
      </rPr>
      <t>장비</t>
    </r>
    <r>
      <rPr>
        <sz val="11"/>
        <color theme="1"/>
        <rFont val="Trebuchet MS"/>
        <family val="2"/>
      </rPr>
      <t xml:space="preserve"> </t>
    </r>
    <r>
      <rPr>
        <sz val="11"/>
        <color theme="1"/>
        <rFont val="돋움"/>
        <family val="3"/>
        <charset val="129"/>
      </rPr>
      <t>부족</t>
    </r>
    <r>
      <rPr>
        <sz val="11"/>
        <color theme="1"/>
        <rFont val="Trebuchet MS"/>
        <family val="2"/>
      </rPr>
      <t xml:space="preserve"> 1</t>
    </r>
    <r>
      <rPr>
        <sz val="11"/>
        <color theme="1"/>
        <rFont val="돋움"/>
        <family val="3"/>
        <charset val="129"/>
      </rPr>
      <t>건</t>
    </r>
    <r>
      <rPr>
        <sz val="11"/>
        <color theme="1"/>
        <rFont val="Trebuchet MS"/>
        <family val="2"/>
      </rPr>
      <t xml:space="preserve"> </t>
    </r>
    <phoneticPr fontId="6" type="noConversion"/>
  </si>
  <si>
    <r>
      <t xml:space="preserve"> </t>
    </r>
    <r>
      <rPr>
        <sz val="11"/>
        <color theme="1"/>
        <rFont val="돋움"/>
        <family val="3"/>
        <charset val="129"/>
      </rPr>
      <t>필요</t>
    </r>
    <r>
      <rPr>
        <sz val="11"/>
        <color theme="1"/>
        <rFont val="Trebuchet MS"/>
        <family val="2"/>
      </rPr>
      <t xml:space="preserve"> </t>
    </r>
    <r>
      <rPr>
        <sz val="11"/>
        <color theme="1"/>
        <rFont val="돋움"/>
        <family val="3"/>
        <charset val="129"/>
      </rPr>
      <t>설비</t>
    </r>
    <r>
      <rPr>
        <sz val="11"/>
        <color theme="1"/>
        <rFont val="Trebuchet MS"/>
        <family val="2"/>
      </rPr>
      <t xml:space="preserve"> </t>
    </r>
    <r>
      <rPr>
        <sz val="11"/>
        <color theme="1"/>
        <rFont val="돋움"/>
        <family val="3"/>
        <charset val="129"/>
      </rPr>
      <t>및</t>
    </r>
    <r>
      <rPr>
        <sz val="11"/>
        <color theme="1"/>
        <rFont val="Trebuchet MS"/>
        <family val="2"/>
      </rPr>
      <t xml:space="preserve"> </t>
    </r>
    <r>
      <rPr>
        <sz val="11"/>
        <color theme="1"/>
        <rFont val="돋움"/>
        <family val="3"/>
        <charset val="129"/>
      </rPr>
      <t>장비</t>
    </r>
    <r>
      <rPr>
        <sz val="11"/>
        <color theme="1"/>
        <rFont val="Trebuchet MS"/>
        <family val="2"/>
      </rPr>
      <t xml:space="preserve"> </t>
    </r>
    <r>
      <rPr>
        <sz val="11"/>
        <color theme="1"/>
        <rFont val="돋움"/>
        <family val="3"/>
        <charset val="129"/>
      </rPr>
      <t>부족</t>
    </r>
    <r>
      <rPr>
        <sz val="11"/>
        <color theme="1"/>
        <rFont val="Trebuchet MS"/>
        <family val="2"/>
      </rPr>
      <t xml:space="preserve"> 2</t>
    </r>
    <r>
      <rPr>
        <sz val="11"/>
        <color theme="1"/>
        <rFont val="돋움"/>
        <family val="3"/>
        <charset val="129"/>
      </rPr>
      <t>건</t>
    </r>
    <r>
      <rPr>
        <sz val="11"/>
        <color theme="1"/>
        <rFont val="Trebuchet MS"/>
        <family val="2"/>
      </rPr>
      <t xml:space="preserve"> </t>
    </r>
    <phoneticPr fontId="6" type="noConversion"/>
  </si>
  <si>
    <r>
      <t xml:space="preserve"> </t>
    </r>
    <r>
      <rPr>
        <sz val="11"/>
        <color theme="1"/>
        <rFont val="돋움"/>
        <family val="3"/>
        <charset val="129"/>
      </rPr>
      <t>필요</t>
    </r>
    <r>
      <rPr>
        <sz val="11"/>
        <color theme="1"/>
        <rFont val="Trebuchet MS"/>
        <family val="2"/>
      </rPr>
      <t xml:space="preserve"> </t>
    </r>
    <r>
      <rPr>
        <sz val="11"/>
        <color theme="1"/>
        <rFont val="돋움"/>
        <family val="3"/>
        <charset val="129"/>
      </rPr>
      <t>설비</t>
    </r>
    <r>
      <rPr>
        <sz val="11"/>
        <color theme="1"/>
        <rFont val="Trebuchet MS"/>
        <family val="2"/>
      </rPr>
      <t xml:space="preserve"> </t>
    </r>
    <r>
      <rPr>
        <sz val="11"/>
        <color theme="1"/>
        <rFont val="돋움"/>
        <family val="3"/>
        <charset val="129"/>
      </rPr>
      <t>및</t>
    </r>
    <r>
      <rPr>
        <sz val="11"/>
        <color theme="1"/>
        <rFont val="Trebuchet MS"/>
        <family val="2"/>
      </rPr>
      <t xml:space="preserve"> </t>
    </r>
    <r>
      <rPr>
        <sz val="11"/>
        <color theme="1"/>
        <rFont val="돋움"/>
        <family val="3"/>
        <charset val="129"/>
      </rPr>
      <t>장비</t>
    </r>
    <r>
      <rPr>
        <sz val="11"/>
        <color theme="1"/>
        <rFont val="Trebuchet MS"/>
        <family val="2"/>
      </rPr>
      <t xml:space="preserve"> </t>
    </r>
    <r>
      <rPr>
        <sz val="11"/>
        <color theme="1"/>
        <rFont val="돋움"/>
        <family val="3"/>
        <charset val="129"/>
      </rPr>
      <t>부족</t>
    </r>
    <r>
      <rPr>
        <sz val="11"/>
        <color theme="1"/>
        <rFont val="Trebuchet MS"/>
        <family val="2"/>
      </rPr>
      <t xml:space="preserve"> 3</t>
    </r>
    <r>
      <rPr>
        <sz val="11"/>
        <color theme="1"/>
        <rFont val="돋움"/>
        <family val="3"/>
        <charset val="129"/>
      </rPr>
      <t>건</t>
    </r>
    <r>
      <rPr>
        <sz val="11"/>
        <color theme="1"/>
        <rFont val="Trebuchet MS"/>
        <family val="2"/>
      </rPr>
      <t xml:space="preserve"> </t>
    </r>
    <phoneticPr fontId="6" type="noConversion"/>
  </si>
  <si>
    <r>
      <t xml:space="preserve"> </t>
    </r>
    <r>
      <rPr>
        <sz val="11"/>
        <color theme="1"/>
        <rFont val="돋움"/>
        <family val="3"/>
        <charset val="129"/>
      </rPr>
      <t>필요</t>
    </r>
    <r>
      <rPr>
        <sz val="11"/>
        <color theme="1"/>
        <rFont val="Trebuchet MS"/>
        <family val="2"/>
      </rPr>
      <t xml:space="preserve"> </t>
    </r>
    <r>
      <rPr>
        <sz val="11"/>
        <color theme="1"/>
        <rFont val="돋움"/>
        <family val="3"/>
        <charset val="129"/>
      </rPr>
      <t>설비</t>
    </r>
    <r>
      <rPr>
        <sz val="11"/>
        <color theme="1"/>
        <rFont val="Trebuchet MS"/>
        <family val="2"/>
      </rPr>
      <t xml:space="preserve"> </t>
    </r>
    <r>
      <rPr>
        <sz val="11"/>
        <color theme="1"/>
        <rFont val="돋움"/>
        <family val="3"/>
        <charset val="129"/>
      </rPr>
      <t>및</t>
    </r>
    <r>
      <rPr>
        <sz val="11"/>
        <color theme="1"/>
        <rFont val="Trebuchet MS"/>
        <family val="2"/>
      </rPr>
      <t xml:space="preserve"> </t>
    </r>
    <r>
      <rPr>
        <sz val="11"/>
        <color theme="1"/>
        <rFont val="돋움"/>
        <family val="3"/>
        <charset val="129"/>
      </rPr>
      <t>장비</t>
    </r>
    <r>
      <rPr>
        <sz val="11"/>
        <color theme="1"/>
        <rFont val="Trebuchet MS"/>
        <family val="2"/>
      </rPr>
      <t xml:space="preserve"> </t>
    </r>
    <r>
      <rPr>
        <sz val="11"/>
        <color theme="1"/>
        <rFont val="돋움"/>
        <family val="3"/>
        <charset val="129"/>
      </rPr>
      <t>부족</t>
    </r>
    <r>
      <rPr>
        <sz val="11"/>
        <color theme="1"/>
        <rFont val="Trebuchet MS"/>
        <family val="2"/>
      </rPr>
      <t xml:space="preserve"> 4</t>
    </r>
    <r>
      <rPr>
        <sz val="11"/>
        <color theme="1"/>
        <rFont val="돋움"/>
        <family val="3"/>
        <charset val="129"/>
      </rPr>
      <t>건</t>
    </r>
    <r>
      <rPr>
        <sz val="11"/>
        <color theme="1"/>
        <rFont val="Trebuchet MS"/>
        <family val="2"/>
      </rPr>
      <t xml:space="preserve"> </t>
    </r>
    <phoneticPr fontId="6" type="noConversion"/>
  </si>
  <si>
    <t>&lt;첨부 5&gt; 신규 공급사 평가 및 점검(AEO 비관련사)</t>
    <phoneticPr fontId="6" type="noConversion"/>
  </si>
  <si>
    <t>자격 요건
1. PSA Busan  공급사의 요건으로써 최소 3년 이상의 해당 서비스(실물) 제공 경력이 3년 
    이상이거나, 또는 동종업계 경력 5년 이상 보유자를 임직원으로 보유
2. 공급사는 과거 3년간 PSA Busan의 사업에 손실이나 폐해를 끼친적이 없음</t>
  </si>
  <si>
    <t xml:space="preserve">평가 항목 
1. 실태 평가: 공급사 Profile, Capacity 정보, 재무안정성 평가, 서비스 영역 및 지역 정보 등
2. 실적 평가: 공급사와 PSA Busan과의 기 거래 실적 및 서비스 만족도, 전략적 중요도 평가 등
3. 가격 평가: 경쟁 입찰에 준하여 평가
평가항목 가중치
공급사 선정을 위한 평가 항목 및 기준, 평가 항목별 가중치는 구매 물품 및 서비스 특성에 따라 차별화 되어야 함 </t>
  </si>
  <si>
    <t>계약 유효 기간 및 갱신 주기는 1년을 기본으로 하되, 시장 상황과 시황에 따라 PSA Busan에게 유리하다고 판단되는 경우에는 기간을 조정할 수 있어야 함</t>
  </si>
  <si>
    <r>
      <rPr>
        <b/>
        <sz val="10"/>
        <rFont val="돋움"/>
        <family val="3"/>
        <charset val="129"/>
      </rPr>
      <t>검증</t>
    </r>
    <r>
      <rPr>
        <b/>
        <sz val="10"/>
        <rFont val="Trebuchet MS"/>
        <family val="2"/>
      </rPr>
      <t xml:space="preserve"> </t>
    </r>
    <r>
      <rPr>
        <b/>
        <sz val="10"/>
        <rFont val="돋움"/>
        <family val="3"/>
        <charset val="129"/>
      </rPr>
      <t xml:space="preserve">항목
</t>
    </r>
    <r>
      <rPr>
        <b/>
        <sz val="10"/>
        <rFont val="Trebuchet MS"/>
        <family val="2"/>
      </rPr>
      <t xml:space="preserve">1. </t>
    </r>
    <r>
      <rPr>
        <b/>
        <sz val="10"/>
        <rFont val="돋움"/>
        <family val="3"/>
        <charset val="129"/>
      </rPr>
      <t>회사</t>
    </r>
    <r>
      <rPr>
        <b/>
        <sz val="10"/>
        <rFont val="Trebuchet MS"/>
        <family val="2"/>
      </rPr>
      <t xml:space="preserve"> </t>
    </r>
    <r>
      <rPr>
        <b/>
        <sz val="10"/>
        <rFont val="돋움"/>
        <family val="3"/>
        <charset val="129"/>
      </rPr>
      <t>기본</t>
    </r>
    <r>
      <rPr>
        <b/>
        <sz val="10"/>
        <rFont val="Trebuchet MS"/>
        <family val="2"/>
      </rPr>
      <t xml:space="preserve"> </t>
    </r>
    <r>
      <rPr>
        <b/>
        <sz val="10"/>
        <rFont val="돋움"/>
        <family val="3"/>
        <charset val="129"/>
      </rPr>
      <t>정보</t>
    </r>
    <r>
      <rPr>
        <b/>
        <sz val="10"/>
        <rFont val="Trebuchet MS"/>
        <family val="2"/>
      </rPr>
      <t xml:space="preserve"> (Company Profile) - </t>
    </r>
    <r>
      <rPr>
        <b/>
        <sz val="10"/>
        <rFont val="돋움"/>
        <family val="3"/>
        <charset val="129"/>
      </rPr>
      <t>회사</t>
    </r>
    <r>
      <rPr>
        <b/>
        <sz val="10"/>
        <rFont val="Trebuchet MS"/>
        <family val="2"/>
      </rPr>
      <t xml:space="preserve"> </t>
    </r>
    <r>
      <rPr>
        <b/>
        <sz val="10"/>
        <rFont val="돋움"/>
        <family val="3"/>
        <charset val="129"/>
      </rPr>
      <t>연혁</t>
    </r>
    <r>
      <rPr>
        <b/>
        <sz val="10"/>
        <rFont val="Trebuchet MS"/>
        <family val="2"/>
      </rPr>
      <t xml:space="preserve">, </t>
    </r>
    <r>
      <rPr>
        <b/>
        <sz val="10"/>
        <rFont val="돋움"/>
        <family val="3"/>
        <charset val="129"/>
      </rPr>
      <t>경영진</t>
    </r>
    <r>
      <rPr>
        <b/>
        <sz val="10"/>
        <rFont val="Trebuchet MS"/>
        <family val="2"/>
      </rPr>
      <t xml:space="preserve"> </t>
    </r>
    <r>
      <rPr>
        <b/>
        <sz val="10"/>
        <rFont val="돋움"/>
        <family val="3"/>
        <charset val="129"/>
      </rPr>
      <t>정보</t>
    </r>
    <r>
      <rPr>
        <b/>
        <sz val="10"/>
        <rFont val="Trebuchet MS"/>
        <family val="2"/>
      </rPr>
      <t xml:space="preserve">, </t>
    </r>
    <r>
      <rPr>
        <b/>
        <sz val="10"/>
        <rFont val="돋움"/>
        <family val="3"/>
        <charset val="129"/>
      </rPr>
      <t>사업</t>
    </r>
    <r>
      <rPr>
        <b/>
        <sz val="10"/>
        <rFont val="Trebuchet MS"/>
        <family val="2"/>
      </rPr>
      <t xml:space="preserve"> </t>
    </r>
    <r>
      <rPr>
        <b/>
        <sz val="10"/>
        <rFont val="돋움"/>
        <family val="3"/>
        <charset val="129"/>
      </rPr>
      <t>영역</t>
    </r>
    <r>
      <rPr>
        <b/>
        <sz val="10"/>
        <rFont val="Trebuchet MS"/>
        <family val="2"/>
      </rPr>
      <t xml:space="preserve">, </t>
    </r>
    <r>
      <rPr>
        <b/>
        <sz val="10"/>
        <rFont val="돋움"/>
        <family val="3"/>
        <charset val="129"/>
      </rPr>
      <t>실적</t>
    </r>
    <r>
      <rPr>
        <b/>
        <sz val="10"/>
        <rFont val="Trebuchet MS"/>
        <family val="2"/>
      </rPr>
      <t xml:space="preserve">, </t>
    </r>
    <r>
      <rPr>
        <b/>
        <sz val="10"/>
        <rFont val="돋움"/>
        <family val="3"/>
        <charset val="129"/>
      </rPr>
      <t>주요</t>
    </r>
    <r>
      <rPr>
        <b/>
        <sz val="10"/>
        <rFont val="Trebuchet MS"/>
        <family val="2"/>
      </rPr>
      <t xml:space="preserve"> </t>
    </r>
    <r>
      <rPr>
        <b/>
        <sz val="10"/>
        <rFont val="돋움"/>
        <family val="3"/>
        <charset val="129"/>
      </rPr>
      <t>고객</t>
    </r>
    <r>
      <rPr>
        <b/>
        <sz val="10"/>
        <rFont val="Trebuchet MS"/>
        <family val="2"/>
      </rPr>
      <t xml:space="preserve"> </t>
    </r>
    <r>
      <rPr>
        <b/>
        <sz val="10"/>
        <rFont val="돋움"/>
        <family val="3"/>
        <charset val="129"/>
      </rPr>
      <t xml:space="preserve">현
</t>
    </r>
    <r>
      <rPr>
        <b/>
        <sz val="10"/>
        <rFont val="Trebuchet MS"/>
        <family val="2"/>
      </rPr>
      <t xml:space="preserve">    </t>
    </r>
    <r>
      <rPr>
        <b/>
        <sz val="10"/>
        <rFont val="돋움"/>
        <family val="3"/>
        <charset val="129"/>
      </rPr>
      <t>황</t>
    </r>
    <r>
      <rPr>
        <b/>
        <sz val="10"/>
        <rFont val="Trebuchet MS"/>
        <family val="2"/>
      </rPr>
      <t xml:space="preserve"> </t>
    </r>
    <r>
      <rPr>
        <b/>
        <sz val="10"/>
        <rFont val="돋움"/>
        <family val="3"/>
        <charset val="129"/>
      </rPr>
      <t xml:space="preserve">등
</t>
    </r>
    <r>
      <rPr>
        <b/>
        <sz val="10"/>
        <rFont val="Trebuchet MS"/>
        <family val="2"/>
      </rPr>
      <t xml:space="preserve">2. </t>
    </r>
    <r>
      <rPr>
        <b/>
        <sz val="10"/>
        <rFont val="돋움"/>
        <family val="3"/>
        <charset val="129"/>
      </rPr>
      <t>재무</t>
    </r>
    <r>
      <rPr>
        <b/>
        <sz val="10"/>
        <rFont val="Trebuchet MS"/>
        <family val="2"/>
      </rPr>
      <t xml:space="preserve"> </t>
    </r>
    <r>
      <rPr>
        <b/>
        <sz val="10"/>
        <rFont val="돋움"/>
        <family val="3"/>
        <charset val="129"/>
      </rPr>
      <t>정보</t>
    </r>
    <r>
      <rPr>
        <b/>
        <sz val="10"/>
        <rFont val="Trebuchet MS"/>
        <family val="2"/>
      </rPr>
      <t xml:space="preserve"> - PSA Busan</t>
    </r>
    <r>
      <rPr>
        <b/>
        <sz val="10"/>
        <rFont val="돋움"/>
        <family val="3"/>
        <charset val="129"/>
      </rPr>
      <t>이</t>
    </r>
    <r>
      <rPr>
        <b/>
        <sz val="10"/>
        <rFont val="Trebuchet MS"/>
        <family val="2"/>
      </rPr>
      <t xml:space="preserve"> </t>
    </r>
    <r>
      <rPr>
        <b/>
        <sz val="10"/>
        <rFont val="돋움"/>
        <family val="3"/>
        <charset val="129"/>
      </rPr>
      <t>인정한</t>
    </r>
    <r>
      <rPr>
        <b/>
        <sz val="10"/>
        <rFont val="Trebuchet MS"/>
        <family val="2"/>
      </rPr>
      <t xml:space="preserve"> </t>
    </r>
    <r>
      <rPr>
        <b/>
        <sz val="10"/>
        <rFont val="돋움"/>
        <family val="3"/>
        <charset val="129"/>
      </rPr>
      <t>신용</t>
    </r>
    <r>
      <rPr>
        <b/>
        <sz val="10"/>
        <rFont val="Trebuchet MS"/>
        <family val="2"/>
      </rPr>
      <t xml:space="preserve"> </t>
    </r>
    <r>
      <rPr>
        <b/>
        <sz val="10"/>
        <rFont val="돋움"/>
        <family val="3"/>
        <charset val="129"/>
      </rPr>
      <t>평가</t>
    </r>
    <r>
      <rPr>
        <b/>
        <sz val="10"/>
        <rFont val="Trebuchet MS"/>
        <family val="2"/>
      </rPr>
      <t xml:space="preserve"> </t>
    </r>
    <r>
      <rPr>
        <b/>
        <sz val="10"/>
        <rFont val="돋움"/>
        <family val="3"/>
        <charset val="129"/>
      </rPr>
      <t>기관의</t>
    </r>
    <r>
      <rPr>
        <b/>
        <sz val="10"/>
        <rFont val="Trebuchet MS"/>
        <family val="2"/>
      </rPr>
      <t xml:space="preserve"> </t>
    </r>
    <r>
      <rPr>
        <b/>
        <sz val="10"/>
        <rFont val="돋움"/>
        <family val="3"/>
        <charset val="129"/>
      </rPr>
      <t>평가</t>
    </r>
    <r>
      <rPr>
        <b/>
        <sz val="10"/>
        <rFont val="Trebuchet MS"/>
        <family val="2"/>
      </rPr>
      <t xml:space="preserve"> </t>
    </r>
    <r>
      <rPr>
        <b/>
        <sz val="10"/>
        <rFont val="돋움"/>
        <family val="3"/>
        <charset val="129"/>
      </rPr>
      <t>등급</t>
    </r>
    <r>
      <rPr>
        <b/>
        <sz val="10"/>
        <rFont val="Trebuchet MS"/>
        <family val="2"/>
      </rPr>
      <t xml:space="preserve"> </t>
    </r>
    <r>
      <rPr>
        <b/>
        <sz val="10"/>
        <rFont val="돋움"/>
        <family val="3"/>
        <charset val="129"/>
      </rPr>
      <t>또는</t>
    </r>
    <r>
      <rPr>
        <b/>
        <sz val="10"/>
        <rFont val="Trebuchet MS"/>
        <family val="2"/>
      </rPr>
      <t xml:space="preserve"> </t>
    </r>
    <r>
      <rPr>
        <b/>
        <sz val="10"/>
        <rFont val="돋움"/>
        <family val="3"/>
        <charset val="129"/>
      </rPr>
      <t>최근</t>
    </r>
    <r>
      <rPr>
        <b/>
        <sz val="10"/>
        <rFont val="Trebuchet MS"/>
        <family val="2"/>
      </rPr>
      <t xml:space="preserve"> 3</t>
    </r>
    <r>
      <rPr>
        <b/>
        <sz val="10"/>
        <rFont val="돋움"/>
        <family val="3"/>
        <charset val="129"/>
      </rPr>
      <t>개년</t>
    </r>
    <r>
      <rPr>
        <b/>
        <sz val="10"/>
        <rFont val="Trebuchet MS"/>
        <family val="2"/>
      </rPr>
      <t xml:space="preserve"> </t>
    </r>
    <r>
      <rPr>
        <b/>
        <sz val="10"/>
        <rFont val="돋움"/>
        <family val="3"/>
        <charset val="129"/>
      </rPr>
      <t>재무제표</t>
    </r>
    <r>
      <rPr>
        <b/>
        <sz val="10"/>
        <rFont val="Trebuchet MS"/>
        <family val="2"/>
      </rPr>
      <t xml:space="preserve"> </t>
    </r>
    <r>
      <rPr>
        <b/>
        <sz val="10"/>
        <rFont val="돋움"/>
        <family val="3"/>
        <charset val="129"/>
      </rPr>
      <t xml:space="preserve">또
</t>
    </r>
    <r>
      <rPr>
        <b/>
        <sz val="10"/>
        <rFont val="Trebuchet MS"/>
        <family val="2"/>
      </rPr>
      <t xml:space="preserve">    </t>
    </r>
    <r>
      <rPr>
        <b/>
        <sz val="10"/>
        <rFont val="돋움"/>
        <family val="3"/>
        <charset val="129"/>
      </rPr>
      <t>는</t>
    </r>
    <r>
      <rPr>
        <b/>
        <sz val="10"/>
        <rFont val="Trebuchet MS"/>
        <family val="2"/>
      </rPr>
      <t xml:space="preserve"> </t>
    </r>
    <r>
      <rPr>
        <b/>
        <sz val="10"/>
        <rFont val="돋움"/>
        <family val="3"/>
        <charset val="129"/>
      </rPr>
      <t>세무</t>
    </r>
    <r>
      <rPr>
        <b/>
        <sz val="10"/>
        <rFont val="Trebuchet MS"/>
        <family val="2"/>
      </rPr>
      <t xml:space="preserve"> </t>
    </r>
    <r>
      <rPr>
        <b/>
        <sz val="10"/>
        <rFont val="돋움"/>
        <family val="3"/>
        <charset val="129"/>
      </rPr>
      <t>신고</t>
    </r>
    <r>
      <rPr>
        <b/>
        <sz val="10"/>
        <rFont val="Trebuchet MS"/>
        <family val="2"/>
      </rPr>
      <t xml:space="preserve"> </t>
    </r>
    <r>
      <rPr>
        <b/>
        <sz val="10"/>
        <rFont val="돋움"/>
        <family val="3"/>
        <charset val="129"/>
      </rPr>
      <t>내역</t>
    </r>
    <r>
      <rPr>
        <b/>
        <sz val="10"/>
        <rFont val="Trebuchet MS"/>
        <family val="2"/>
      </rPr>
      <t xml:space="preserve"> </t>
    </r>
    <r>
      <rPr>
        <b/>
        <sz val="10"/>
        <rFont val="돋움"/>
        <family val="3"/>
        <charset val="129"/>
      </rPr>
      <t>등</t>
    </r>
    <r>
      <rPr>
        <b/>
        <sz val="10"/>
        <rFont val="Trebuchet MS"/>
        <family val="2"/>
      </rPr>
      <t xml:space="preserve"> </t>
    </r>
    <r>
      <rPr>
        <b/>
        <sz val="10"/>
        <rFont val="돋움"/>
        <family val="3"/>
        <charset val="129"/>
      </rPr>
      <t>유동성</t>
    </r>
    <r>
      <rPr>
        <b/>
        <sz val="10"/>
        <rFont val="Trebuchet MS"/>
        <family val="2"/>
      </rPr>
      <t xml:space="preserve"> / </t>
    </r>
    <r>
      <rPr>
        <b/>
        <sz val="10"/>
        <rFont val="돋움"/>
        <family val="3"/>
        <charset val="129"/>
      </rPr>
      <t>부채비율</t>
    </r>
    <r>
      <rPr>
        <b/>
        <sz val="10"/>
        <rFont val="Trebuchet MS"/>
        <family val="2"/>
      </rPr>
      <t xml:space="preserve"> / </t>
    </r>
    <r>
      <rPr>
        <b/>
        <sz val="10"/>
        <rFont val="돋움"/>
        <family val="3"/>
        <charset val="129"/>
      </rPr>
      <t>영업이익율</t>
    </r>
    <r>
      <rPr>
        <b/>
        <sz val="10"/>
        <rFont val="Trebuchet MS"/>
        <family val="2"/>
      </rPr>
      <t xml:space="preserve"> </t>
    </r>
    <r>
      <rPr>
        <b/>
        <sz val="10"/>
        <rFont val="돋움"/>
        <family val="3"/>
        <charset val="129"/>
      </rPr>
      <t>등의</t>
    </r>
    <r>
      <rPr>
        <b/>
        <sz val="10"/>
        <rFont val="Trebuchet MS"/>
        <family val="2"/>
      </rPr>
      <t xml:space="preserve"> </t>
    </r>
    <r>
      <rPr>
        <b/>
        <sz val="10"/>
        <rFont val="돋움"/>
        <family val="3"/>
        <charset val="129"/>
      </rPr>
      <t>파악이</t>
    </r>
    <r>
      <rPr>
        <b/>
        <sz val="10"/>
        <rFont val="Trebuchet MS"/>
        <family val="2"/>
      </rPr>
      <t xml:space="preserve"> </t>
    </r>
    <r>
      <rPr>
        <b/>
        <sz val="10"/>
        <rFont val="돋움"/>
        <family val="3"/>
        <charset val="129"/>
      </rPr>
      <t>가능한</t>
    </r>
    <r>
      <rPr>
        <b/>
        <sz val="10"/>
        <rFont val="Trebuchet MS"/>
        <family val="2"/>
      </rPr>
      <t xml:space="preserve"> </t>
    </r>
    <r>
      <rPr>
        <b/>
        <sz val="10"/>
        <rFont val="돋움"/>
        <family val="3"/>
        <charset val="129"/>
      </rPr>
      <t xml:space="preserve">정보
</t>
    </r>
    <r>
      <rPr>
        <b/>
        <sz val="10"/>
        <rFont val="Trebuchet MS"/>
        <family val="2"/>
      </rPr>
      <t xml:space="preserve">3. </t>
    </r>
    <r>
      <rPr>
        <b/>
        <sz val="10"/>
        <rFont val="돋움"/>
        <family val="3"/>
        <charset val="129"/>
      </rPr>
      <t>사업</t>
    </r>
    <r>
      <rPr>
        <b/>
        <sz val="10"/>
        <rFont val="Trebuchet MS"/>
        <family val="2"/>
      </rPr>
      <t xml:space="preserve"> </t>
    </r>
    <r>
      <rPr>
        <b/>
        <sz val="10"/>
        <rFont val="돋움"/>
        <family val="3"/>
        <charset val="129"/>
      </rPr>
      <t>정보</t>
    </r>
    <r>
      <rPr>
        <b/>
        <sz val="10"/>
        <rFont val="Trebuchet MS"/>
        <family val="2"/>
      </rPr>
      <t xml:space="preserve"> -  </t>
    </r>
    <r>
      <rPr>
        <b/>
        <sz val="10"/>
        <rFont val="돋움"/>
        <family val="3"/>
        <charset val="129"/>
      </rPr>
      <t>제공하는</t>
    </r>
    <r>
      <rPr>
        <b/>
        <sz val="10"/>
        <rFont val="Trebuchet MS"/>
        <family val="2"/>
      </rPr>
      <t xml:space="preserve"> </t>
    </r>
    <r>
      <rPr>
        <b/>
        <sz val="10"/>
        <rFont val="돋움"/>
        <family val="3"/>
        <charset val="129"/>
      </rPr>
      <t>실물</t>
    </r>
    <r>
      <rPr>
        <b/>
        <sz val="10"/>
        <rFont val="Trebuchet MS"/>
        <family val="2"/>
      </rPr>
      <t xml:space="preserve"> </t>
    </r>
    <r>
      <rPr>
        <b/>
        <sz val="10"/>
        <rFont val="돋움"/>
        <family val="3"/>
        <charset val="129"/>
      </rPr>
      <t>및</t>
    </r>
    <r>
      <rPr>
        <b/>
        <sz val="10"/>
        <rFont val="Trebuchet MS"/>
        <family val="2"/>
      </rPr>
      <t xml:space="preserve"> </t>
    </r>
    <r>
      <rPr>
        <b/>
        <sz val="10"/>
        <rFont val="돋움"/>
        <family val="3"/>
        <charset val="129"/>
      </rPr>
      <t>서비스에</t>
    </r>
    <r>
      <rPr>
        <b/>
        <sz val="10"/>
        <rFont val="Trebuchet MS"/>
        <family val="2"/>
      </rPr>
      <t xml:space="preserve"> </t>
    </r>
    <r>
      <rPr>
        <b/>
        <sz val="10"/>
        <rFont val="돋움"/>
        <family val="3"/>
        <charset val="129"/>
      </rPr>
      <t>대한</t>
    </r>
    <r>
      <rPr>
        <b/>
        <sz val="10"/>
        <rFont val="Trebuchet MS"/>
        <family val="2"/>
      </rPr>
      <t xml:space="preserve"> </t>
    </r>
    <r>
      <rPr>
        <b/>
        <sz val="10"/>
        <rFont val="돋움"/>
        <family val="3"/>
        <charset val="129"/>
      </rPr>
      <t>사업</t>
    </r>
    <r>
      <rPr>
        <b/>
        <sz val="10"/>
        <rFont val="Trebuchet MS"/>
        <family val="2"/>
      </rPr>
      <t xml:space="preserve"> </t>
    </r>
    <r>
      <rPr>
        <b/>
        <sz val="10"/>
        <rFont val="돋움"/>
        <family val="3"/>
        <charset val="129"/>
      </rPr>
      <t>특성</t>
    </r>
    <r>
      <rPr>
        <b/>
        <sz val="10"/>
        <rFont val="Trebuchet MS"/>
        <family val="2"/>
      </rPr>
      <t xml:space="preserve"> </t>
    </r>
    <r>
      <rPr>
        <b/>
        <sz val="10"/>
        <rFont val="돋움"/>
        <family val="3"/>
        <charset val="129"/>
      </rPr>
      <t>정보</t>
    </r>
    <phoneticPr fontId="13" type="noConversion"/>
  </si>
  <si>
    <r>
      <rPr>
        <b/>
        <sz val="10"/>
        <rFont val="돋움"/>
        <family val="3"/>
        <charset val="129"/>
      </rPr>
      <t>자격상실</t>
    </r>
    <r>
      <rPr>
        <b/>
        <sz val="10"/>
        <rFont val="Trebuchet MS"/>
        <family val="2"/>
      </rPr>
      <t xml:space="preserve"> </t>
    </r>
    <r>
      <rPr>
        <b/>
        <sz val="10"/>
        <rFont val="돋움"/>
        <family val="3"/>
        <charset val="129"/>
      </rPr>
      <t xml:space="preserve">요건
</t>
    </r>
    <r>
      <rPr>
        <b/>
        <sz val="10"/>
        <rFont val="Trebuchet MS"/>
        <family val="2"/>
      </rPr>
      <t>1. PSA Busan</t>
    </r>
    <r>
      <rPr>
        <b/>
        <sz val="10"/>
        <rFont val="돋움"/>
        <family val="3"/>
        <charset val="129"/>
      </rPr>
      <t>의</t>
    </r>
    <r>
      <rPr>
        <b/>
        <sz val="10"/>
        <rFont val="Trebuchet MS"/>
        <family val="2"/>
      </rPr>
      <t xml:space="preserve"> </t>
    </r>
    <r>
      <rPr>
        <b/>
        <sz val="10"/>
        <rFont val="돋움"/>
        <family val="3"/>
        <charset val="129"/>
      </rPr>
      <t>사업에</t>
    </r>
    <r>
      <rPr>
        <b/>
        <sz val="10"/>
        <rFont val="Trebuchet MS"/>
        <family val="2"/>
      </rPr>
      <t xml:space="preserve"> </t>
    </r>
    <r>
      <rPr>
        <b/>
        <sz val="10"/>
        <rFont val="돋움"/>
        <family val="3"/>
        <charset val="129"/>
      </rPr>
      <t>손실이나</t>
    </r>
    <r>
      <rPr>
        <b/>
        <sz val="10"/>
        <rFont val="Trebuchet MS"/>
        <family val="2"/>
      </rPr>
      <t xml:space="preserve"> </t>
    </r>
    <r>
      <rPr>
        <b/>
        <sz val="10"/>
        <rFont val="돋움"/>
        <family val="3"/>
        <charset val="129"/>
      </rPr>
      <t>폐해를</t>
    </r>
    <r>
      <rPr>
        <b/>
        <sz val="10"/>
        <rFont val="Trebuchet MS"/>
        <family val="2"/>
      </rPr>
      <t xml:space="preserve"> </t>
    </r>
    <r>
      <rPr>
        <b/>
        <sz val="10"/>
        <rFont val="돋움"/>
        <family val="3"/>
        <charset val="129"/>
      </rPr>
      <t>끼친</t>
    </r>
    <r>
      <rPr>
        <b/>
        <sz val="10"/>
        <rFont val="Trebuchet MS"/>
        <family val="2"/>
      </rPr>
      <t xml:space="preserve"> </t>
    </r>
    <r>
      <rPr>
        <b/>
        <sz val="10"/>
        <rFont val="돋움"/>
        <family val="3"/>
        <charset val="129"/>
      </rPr>
      <t>경우</t>
    </r>
    <r>
      <rPr>
        <b/>
        <sz val="10"/>
        <rFont val="Trebuchet MS"/>
        <family val="2"/>
      </rPr>
      <t xml:space="preserve"> (</t>
    </r>
    <r>
      <rPr>
        <b/>
        <sz val="10"/>
        <rFont val="돋움"/>
        <family val="3"/>
        <charset val="129"/>
      </rPr>
      <t>단</t>
    </r>
    <r>
      <rPr>
        <b/>
        <sz val="10"/>
        <rFont val="Trebuchet MS"/>
        <family val="2"/>
      </rPr>
      <t xml:space="preserve">, PSA Busan </t>
    </r>
    <r>
      <rPr>
        <b/>
        <sz val="10"/>
        <rFont val="돋움"/>
        <family val="3"/>
        <charset val="129"/>
      </rPr>
      <t>사업에</t>
    </r>
    <r>
      <rPr>
        <b/>
        <sz val="10"/>
        <rFont val="Trebuchet MS"/>
        <family val="2"/>
      </rPr>
      <t xml:space="preserve"> </t>
    </r>
    <r>
      <rPr>
        <b/>
        <sz val="10"/>
        <rFont val="돋움"/>
        <family val="3"/>
        <charset val="129"/>
      </rPr>
      <t>손실이나</t>
    </r>
    <r>
      <rPr>
        <b/>
        <sz val="10"/>
        <rFont val="Trebuchet MS"/>
        <family val="2"/>
      </rPr>
      <t xml:space="preserve"> </t>
    </r>
    <r>
      <rPr>
        <b/>
        <sz val="10"/>
        <rFont val="돋움"/>
        <family val="3"/>
        <charset val="129"/>
      </rPr>
      <t>폐해를</t>
    </r>
    <r>
      <rPr>
        <b/>
        <sz val="10"/>
        <rFont val="Trebuchet MS"/>
        <family val="2"/>
      </rPr>
      <t xml:space="preserve"> </t>
    </r>
    <r>
      <rPr>
        <b/>
        <sz val="10"/>
        <rFont val="돋움"/>
        <family val="3"/>
        <charset val="129"/>
      </rPr>
      <t xml:space="preserve">끼
</t>
    </r>
    <r>
      <rPr>
        <b/>
        <sz val="10"/>
        <rFont val="Trebuchet MS"/>
        <family val="2"/>
      </rPr>
      <t xml:space="preserve">    </t>
    </r>
    <r>
      <rPr>
        <b/>
        <sz val="10"/>
        <rFont val="돋움"/>
        <family val="3"/>
        <charset val="129"/>
      </rPr>
      <t>쳤을</t>
    </r>
    <r>
      <rPr>
        <b/>
        <sz val="10"/>
        <rFont val="Trebuchet MS"/>
        <family val="2"/>
      </rPr>
      <t xml:space="preserve"> </t>
    </r>
    <r>
      <rPr>
        <b/>
        <sz val="10"/>
        <rFont val="돋움"/>
        <family val="3"/>
        <charset val="129"/>
      </rPr>
      <t>경우라도</t>
    </r>
    <r>
      <rPr>
        <b/>
        <sz val="10"/>
        <rFont val="Trebuchet MS"/>
        <family val="2"/>
      </rPr>
      <t xml:space="preserve"> </t>
    </r>
    <r>
      <rPr>
        <b/>
        <sz val="10"/>
        <rFont val="돋움"/>
        <family val="3"/>
        <charset val="129"/>
      </rPr>
      <t>대표이사의</t>
    </r>
    <r>
      <rPr>
        <b/>
        <sz val="10"/>
        <rFont val="Trebuchet MS"/>
        <family val="2"/>
      </rPr>
      <t xml:space="preserve"> </t>
    </r>
    <r>
      <rPr>
        <b/>
        <sz val="10"/>
        <rFont val="돋움"/>
        <family val="3"/>
        <charset val="129"/>
      </rPr>
      <t>승인을</t>
    </r>
    <r>
      <rPr>
        <b/>
        <sz val="10"/>
        <rFont val="Trebuchet MS"/>
        <family val="2"/>
      </rPr>
      <t xml:space="preserve"> </t>
    </r>
    <r>
      <rPr>
        <b/>
        <sz val="10"/>
        <rFont val="돋움"/>
        <family val="3"/>
        <charset val="129"/>
      </rPr>
      <t>득한</t>
    </r>
    <r>
      <rPr>
        <b/>
        <sz val="10"/>
        <rFont val="Trebuchet MS"/>
        <family val="2"/>
      </rPr>
      <t xml:space="preserve"> </t>
    </r>
    <r>
      <rPr>
        <b/>
        <sz val="10"/>
        <rFont val="돋움"/>
        <family val="3"/>
        <charset val="129"/>
      </rPr>
      <t>경우</t>
    </r>
    <r>
      <rPr>
        <b/>
        <sz val="10"/>
        <rFont val="Trebuchet MS"/>
        <family val="2"/>
      </rPr>
      <t xml:space="preserve"> </t>
    </r>
    <r>
      <rPr>
        <b/>
        <sz val="10"/>
        <rFont val="돋움"/>
        <family val="3"/>
        <charset val="129"/>
      </rPr>
      <t>예외</t>
    </r>
    <r>
      <rPr>
        <b/>
        <sz val="10"/>
        <rFont val="Trebuchet MS"/>
        <family val="2"/>
      </rPr>
      <t xml:space="preserve">)
2. </t>
    </r>
    <r>
      <rPr>
        <b/>
        <sz val="10"/>
        <rFont val="돋움"/>
        <family val="3"/>
        <charset val="129"/>
      </rPr>
      <t>재무</t>
    </r>
    <r>
      <rPr>
        <b/>
        <sz val="10"/>
        <rFont val="Trebuchet MS"/>
        <family val="2"/>
      </rPr>
      <t xml:space="preserve"> </t>
    </r>
    <r>
      <rPr>
        <b/>
        <sz val="10"/>
        <rFont val="돋움"/>
        <family val="3"/>
        <charset val="129"/>
      </rPr>
      <t>안정성이</t>
    </r>
    <r>
      <rPr>
        <b/>
        <sz val="10"/>
        <rFont val="Trebuchet MS"/>
        <family val="2"/>
      </rPr>
      <t xml:space="preserve"> </t>
    </r>
    <r>
      <rPr>
        <b/>
        <sz val="10"/>
        <rFont val="돋움"/>
        <family val="3"/>
        <charset val="129"/>
      </rPr>
      <t>저하되어</t>
    </r>
    <r>
      <rPr>
        <b/>
        <sz val="10"/>
        <rFont val="Trebuchet MS"/>
        <family val="2"/>
      </rPr>
      <t xml:space="preserve"> </t>
    </r>
    <r>
      <rPr>
        <b/>
        <sz val="10"/>
        <rFont val="돋움"/>
        <family val="3"/>
        <charset val="129"/>
      </rPr>
      <t>더</t>
    </r>
    <r>
      <rPr>
        <b/>
        <sz val="10"/>
        <rFont val="Trebuchet MS"/>
        <family val="2"/>
      </rPr>
      <t xml:space="preserve"> </t>
    </r>
    <r>
      <rPr>
        <b/>
        <sz val="10"/>
        <rFont val="돋움"/>
        <family val="3"/>
        <charset val="129"/>
      </rPr>
      <t>이상</t>
    </r>
    <r>
      <rPr>
        <b/>
        <sz val="10"/>
        <rFont val="Trebuchet MS"/>
        <family val="2"/>
      </rPr>
      <t xml:space="preserve"> </t>
    </r>
    <r>
      <rPr>
        <b/>
        <sz val="10"/>
        <rFont val="돋움"/>
        <family val="3"/>
        <charset val="129"/>
      </rPr>
      <t>안정적인</t>
    </r>
    <r>
      <rPr>
        <b/>
        <sz val="10"/>
        <rFont val="Trebuchet MS"/>
        <family val="2"/>
      </rPr>
      <t xml:space="preserve"> </t>
    </r>
    <r>
      <rPr>
        <b/>
        <sz val="10"/>
        <rFont val="돋움"/>
        <family val="3"/>
        <charset val="129"/>
      </rPr>
      <t>사업</t>
    </r>
    <r>
      <rPr>
        <b/>
        <sz val="10"/>
        <rFont val="Trebuchet MS"/>
        <family val="2"/>
      </rPr>
      <t xml:space="preserve"> </t>
    </r>
    <r>
      <rPr>
        <b/>
        <sz val="10"/>
        <rFont val="돋움"/>
        <family val="3"/>
        <charset val="129"/>
      </rPr>
      <t>관계가</t>
    </r>
    <r>
      <rPr>
        <b/>
        <sz val="10"/>
        <rFont val="Trebuchet MS"/>
        <family val="2"/>
      </rPr>
      <t xml:space="preserve"> </t>
    </r>
    <r>
      <rPr>
        <b/>
        <sz val="10"/>
        <rFont val="돋움"/>
        <family val="3"/>
        <charset val="129"/>
      </rPr>
      <t>성립되기</t>
    </r>
    <r>
      <rPr>
        <b/>
        <sz val="10"/>
        <rFont val="Trebuchet MS"/>
        <family val="2"/>
      </rPr>
      <t xml:space="preserve"> </t>
    </r>
    <r>
      <rPr>
        <b/>
        <sz val="10"/>
        <rFont val="돋움"/>
        <family val="3"/>
        <charset val="129"/>
      </rPr>
      <t>어렵다고</t>
    </r>
    <r>
      <rPr>
        <b/>
        <sz val="10"/>
        <rFont val="Trebuchet MS"/>
        <family val="2"/>
      </rPr>
      <t xml:space="preserve"> PSA Busan</t>
    </r>
    <r>
      <rPr>
        <b/>
        <sz val="10"/>
        <rFont val="돋움"/>
        <family val="3"/>
        <charset val="129"/>
      </rPr>
      <t xml:space="preserve">의
</t>
    </r>
    <r>
      <rPr>
        <b/>
        <sz val="10"/>
        <rFont val="Trebuchet MS"/>
        <family val="2"/>
      </rPr>
      <t xml:space="preserve">    </t>
    </r>
    <r>
      <rPr>
        <b/>
        <sz val="10"/>
        <rFont val="돋움"/>
        <family val="3"/>
        <charset val="129"/>
      </rPr>
      <t>해당</t>
    </r>
    <r>
      <rPr>
        <b/>
        <sz val="10"/>
        <rFont val="Trebuchet MS"/>
        <family val="2"/>
      </rPr>
      <t xml:space="preserve"> </t>
    </r>
    <r>
      <rPr>
        <b/>
        <sz val="10"/>
        <rFont val="돋움"/>
        <family val="3"/>
        <charset val="129"/>
      </rPr>
      <t>사업부문에서</t>
    </r>
    <r>
      <rPr>
        <b/>
        <sz val="10"/>
        <rFont val="Trebuchet MS"/>
        <family val="2"/>
      </rPr>
      <t xml:space="preserve"> </t>
    </r>
    <r>
      <rPr>
        <b/>
        <sz val="10"/>
        <rFont val="돋움"/>
        <family val="3"/>
        <charset val="129"/>
      </rPr>
      <t>판단하는</t>
    </r>
    <r>
      <rPr>
        <b/>
        <sz val="10"/>
        <rFont val="Trebuchet MS"/>
        <family val="2"/>
      </rPr>
      <t xml:space="preserve"> </t>
    </r>
    <r>
      <rPr>
        <b/>
        <sz val="10"/>
        <rFont val="돋움"/>
        <family val="3"/>
        <charset val="129"/>
      </rPr>
      <t xml:space="preserve">경우
</t>
    </r>
    <r>
      <rPr>
        <b/>
        <sz val="10"/>
        <rFont val="Trebuchet MS"/>
        <family val="2"/>
      </rPr>
      <t>3. PSA Busan</t>
    </r>
    <r>
      <rPr>
        <b/>
        <sz val="10"/>
        <rFont val="돋움"/>
        <family val="3"/>
        <charset val="129"/>
      </rPr>
      <t>과의</t>
    </r>
    <r>
      <rPr>
        <b/>
        <sz val="10"/>
        <rFont val="Trebuchet MS"/>
        <family val="2"/>
      </rPr>
      <t xml:space="preserve"> </t>
    </r>
    <r>
      <rPr>
        <b/>
        <sz val="10"/>
        <rFont val="돋움"/>
        <family val="3"/>
        <charset val="129"/>
      </rPr>
      <t>사업</t>
    </r>
    <r>
      <rPr>
        <b/>
        <sz val="10"/>
        <rFont val="Trebuchet MS"/>
        <family val="2"/>
      </rPr>
      <t xml:space="preserve"> </t>
    </r>
    <r>
      <rPr>
        <b/>
        <sz val="10"/>
        <rFont val="돋움"/>
        <family val="3"/>
        <charset val="129"/>
      </rPr>
      <t>관계에</t>
    </r>
    <r>
      <rPr>
        <b/>
        <sz val="10"/>
        <rFont val="Trebuchet MS"/>
        <family val="2"/>
      </rPr>
      <t xml:space="preserve"> </t>
    </r>
    <r>
      <rPr>
        <b/>
        <sz val="10"/>
        <rFont val="돋움"/>
        <family val="3"/>
        <charset val="129"/>
      </rPr>
      <t>있어</t>
    </r>
    <r>
      <rPr>
        <b/>
        <sz val="10"/>
        <rFont val="Trebuchet MS"/>
        <family val="2"/>
      </rPr>
      <t xml:space="preserve"> </t>
    </r>
    <r>
      <rPr>
        <b/>
        <sz val="10"/>
        <rFont val="돋움"/>
        <family val="3"/>
        <charset val="129"/>
      </rPr>
      <t>관련</t>
    </r>
    <r>
      <rPr>
        <b/>
        <sz val="10"/>
        <rFont val="Trebuchet MS"/>
        <family val="2"/>
      </rPr>
      <t xml:space="preserve"> </t>
    </r>
    <r>
      <rPr>
        <b/>
        <sz val="10"/>
        <rFont val="돋움"/>
        <family val="3"/>
        <charset val="129"/>
      </rPr>
      <t>법령</t>
    </r>
    <r>
      <rPr>
        <b/>
        <sz val="10"/>
        <rFont val="Trebuchet MS"/>
        <family val="2"/>
      </rPr>
      <t xml:space="preserve"> </t>
    </r>
    <r>
      <rPr>
        <b/>
        <sz val="10"/>
        <rFont val="돋움"/>
        <family val="3"/>
        <charset val="129"/>
      </rPr>
      <t>위반을</t>
    </r>
    <r>
      <rPr>
        <b/>
        <sz val="10"/>
        <rFont val="Trebuchet MS"/>
        <family val="2"/>
      </rPr>
      <t xml:space="preserve"> </t>
    </r>
    <r>
      <rPr>
        <b/>
        <sz val="10"/>
        <rFont val="돋움"/>
        <family val="3"/>
        <charset val="129"/>
      </rPr>
      <t>통한</t>
    </r>
    <r>
      <rPr>
        <b/>
        <sz val="10"/>
        <rFont val="Trebuchet MS"/>
        <family val="2"/>
      </rPr>
      <t xml:space="preserve"> </t>
    </r>
    <r>
      <rPr>
        <b/>
        <sz val="10"/>
        <rFont val="돋움"/>
        <family val="3"/>
        <charset val="129"/>
      </rPr>
      <t>문제를</t>
    </r>
    <r>
      <rPr>
        <b/>
        <sz val="10"/>
        <rFont val="Trebuchet MS"/>
        <family val="2"/>
      </rPr>
      <t xml:space="preserve"> </t>
    </r>
    <r>
      <rPr>
        <b/>
        <sz val="10"/>
        <rFont val="돋움"/>
        <family val="3"/>
        <charset val="129"/>
      </rPr>
      <t>야기한</t>
    </r>
    <r>
      <rPr>
        <b/>
        <sz val="10"/>
        <rFont val="Trebuchet MS"/>
        <family val="2"/>
      </rPr>
      <t xml:space="preserve"> </t>
    </r>
    <r>
      <rPr>
        <b/>
        <sz val="10"/>
        <rFont val="돋움"/>
        <family val="3"/>
        <charset val="129"/>
      </rPr>
      <t>경우</t>
    </r>
    <phoneticPr fontId="13" type="noConversion"/>
  </si>
  <si>
    <r>
      <t>B.</t>
    </r>
    <r>
      <rPr>
        <b/>
        <sz val="11"/>
        <rFont val="돋움"/>
        <family val="3"/>
        <charset val="129"/>
      </rPr>
      <t>계약</t>
    </r>
    <r>
      <rPr>
        <b/>
        <sz val="11"/>
        <rFont val="Trebuchet MS"/>
        <family val="2"/>
      </rPr>
      <t xml:space="preserve"> </t>
    </r>
    <r>
      <rPr>
        <b/>
        <sz val="11"/>
        <rFont val="돋움"/>
        <family val="3"/>
        <charset val="129"/>
      </rPr>
      <t>관리</t>
    </r>
    <phoneticPr fontId="13" type="noConversion"/>
  </si>
  <si>
    <t>Supplier Name:</t>
    <phoneticPr fontId="6" type="noConversion"/>
  </si>
  <si>
    <t xml:space="preserve">Supply of Product or Service: </t>
    <phoneticPr fontId="6" type="noConversion"/>
  </si>
  <si>
    <t xml:space="preserve">Annual transaction amount: </t>
    <phoneticPr fontId="6" type="noConversion"/>
  </si>
  <si>
    <t>Assessment Period:</t>
    <phoneticPr fontId="6" type="noConversion"/>
  </si>
  <si>
    <t>평가점수</t>
    <phoneticPr fontId="22" type="noConversion"/>
  </si>
  <si>
    <t>3. 4건이상 ~ 6건미만</t>
    <phoneticPr fontId="6" type="noConversion"/>
  </si>
  <si>
    <t>Supplier
Capability</t>
    <phoneticPr fontId="22" type="noConversion"/>
  </si>
  <si>
    <t>Supplier 
Performance</t>
    <phoneticPr fontId="22" type="noConversion"/>
  </si>
  <si>
    <t>SUPPLIER EVALUATION</t>
    <phoneticPr fontId="6" type="noConversion"/>
  </si>
  <si>
    <t>User Department</t>
    <phoneticPr fontId="6" type="noConversion"/>
  </si>
  <si>
    <t>Prepared by</t>
    <phoneticPr fontId="37" type="noConversion"/>
  </si>
  <si>
    <t>Reviewed by</t>
    <phoneticPr fontId="37" type="noConversion"/>
  </si>
  <si>
    <t>SIGNATURE</t>
    <phoneticPr fontId="37" type="noConversion"/>
  </si>
  <si>
    <t>NAME</t>
    <phoneticPr fontId="37" type="noConversion"/>
  </si>
  <si>
    <t>Approved by</t>
    <phoneticPr fontId="37" type="noConversion"/>
  </si>
  <si>
    <t>Procurement Process Monitoring &amp; Management Checklist</t>
    <phoneticPr fontId="13" type="noConversion"/>
  </si>
  <si>
    <t>Supplier Assessment</t>
    <phoneticPr fontId="6" type="noConversion"/>
  </si>
  <si>
    <t>[Supplier Assessment]</t>
    <phoneticPr fontId="6" type="noConversion"/>
  </si>
  <si>
    <t>[HSSE]</t>
    <phoneticPr fontId="6" type="noConversion"/>
  </si>
  <si>
    <t>Supplier Capability</t>
    <phoneticPr fontId="6" type="noConversion"/>
  </si>
  <si>
    <t>Financial Stability</t>
    <phoneticPr fontId="6" type="noConversion"/>
  </si>
  <si>
    <r>
      <rPr>
        <sz val="11"/>
        <rFont val="돋움"/>
        <family val="3"/>
        <charset val="129"/>
      </rPr>
      <t>재무현황</t>
    </r>
    <r>
      <rPr>
        <sz val="11"/>
        <rFont val="Trebuchet MS"/>
        <family val="2"/>
      </rPr>
      <t xml:space="preserve"> </t>
    </r>
    <r>
      <rPr>
        <sz val="11"/>
        <rFont val="돋움"/>
        <family val="3"/>
        <charset val="129"/>
      </rPr>
      <t>개선도</t>
    </r>
    <r>
      <rPr>
        <sz val="11"/>
        <rFont val="Trebuchet MS"/>
        <family val="2"/>
      </rPr>
      <t xml:space="preserve"> (</t>
    </r>
    <r>
      <rPr>
        <sz val="11"/>
        <rFont val="돋움"/>
        <family val="3"/>
        <charset val="129"/>
      </rPr>
      <t>전년도</t>
    </r>
    <r>
      <rPr>
        <sz val="11"/>
        <rFont val="Trebuchet MS"/>
        <family val="2"/>
      </rPr>
      <t xml:space="preserve"> </t>
    </r>
    <r>
      <rPr>
        <sz val="11"/>
        <rFont val="돋움"/>
        <family val="3"/>
        <charset val="129"/>
      </rPr>
      <t>대비</t>
    </r>
    <r>
      <rPr>
        <sz val="11"/>
        <rFont val="Trebuchet MS"/>
        <family val="2"/>
      </rPr>
      <t>)</t>
    </r>
    <phoneticPr fontId="6" type="noConversion"/>
  </si>
  <si>
    <r>
      <t xml:space="preserve">20% </t>
    </r>
    <r>
      <rPr>
        <sz val="11"/>
        <color indexed="8"/>
        <rFont val="돋움"/>
        <family val="3"/>
        <charset val="129"/>
      </rPr>
      <t>이상</t>
    </r>
    <r>
      <rPr>
        <sz val="11"/>
        <color indexed="8"/>
        <rFont val="Trebuchet MS"/>
        <family val="2"/>
      </rPr>
      <t xml:space="preserve"> </t>
    </r>
    <r>
      <rPr>
        <sz val="11"/>
        <color indexed="8"/>
        <rFont val="돋움"/>
        <family val="3"/>
        <charset val="129"/>
      </rPr>
      <t>매출</t>
    </r>
    <r>
      <rPr>
        <sz val="11"/>
        <color indexed="8"/>
        <rFont val="Trebuchet MS"/>
        <family val="2"/>
      </rPr>
      <t xml:space="preserve"> </t>
    </r>
    <r>
      <rPr>
        <sz val="11"/>
        <color indexed="8"/>
        <rFont val="돋움"/>
        <family val="3"/>
        <charset val="129"/>
      </rPr>
      <t>상승</t>
    </r>
    <phoneticPr fontId="6" type="noConversion"/>
  </si>
  <si>
    <r>
      <t xml:space="preserve">0~10% </t>
    </r>
    <r>
      <rPr>
        <sz val="11"/>
        <color indexed="8"/>
        <rFont val="돋움"/>
        <family val="3"/>
        <charset val="129"/>
      </rPr>
      <t>매출</t>
    </r>
    <r>
      <rPr>
        <sz val="11"/>
        <color indexed="8"/>
        <rFont val="Trebuchet MS"/>
        <family val="2"/>
      </rPr>
      <t xml:space="preserve">  </t>
    </r>
    <r>
      <rPr>
        <sz val="11"/>
        <color indexed="8"/>
        <rFont val="돋움"/>
        <family val="3"/>
        <charset val="129"/>
      </rPr>
      <t>상승</t>
    </r>
    <phoneticPr fontId="6" type="noConversion"/>
  </si>
  <si>
    <r>
      <t xml:space="preserve">0~10% </t>
    </r>
    <r>
      <rPr>
        <sz val="11"/>
        <color indexed="8"/>
        <rFont val="돋움"/>
        <family val="3"/>
        <charset val="129"/>
      </rPr>
      <t>매출</t>
    </r>
    <r>
      <rPr>
        <sz val="11"/>
        <color indexed="8"/>
        <rFont val="Trebuchet MS"/>
        <family val="2"/>
      </rPr>
      <t xml:space="preserve"> </t>
    </r>
    <r>
      <rPr>
        <sz val="11"/>
        <color indexed="8"/>
        <rFont val="돋움"/>
        <family val="3"/>
        <charset val="129"/>
      </rPr>
      <t>감소</t>
    </r>
    <phoneticPr fontId="6" type="noConversion"/>
  </si>
  <si>
    <r>
      <t xml:space="preserve">20% </t>
    </r>
    <r>
      <rPr>
        <sz val="11"/>
        <color indexed="8"/>
        <rFont val="돋움"/>
        <family val="3"/>
        <charset val="129"/>
      </rPr>
      <t>이상</t>
    </r>
    <r>
      <rPr>
        <sz val="11"/>
        <color indexed="8"/>
        <rFont val="Trebuchet MS"/>
        <family val="2"/>
      </rPr>
      <t xml:space="preserve"> </t>
    </r>
    <r>
      <rPr>
        <sz val="11"/>
        <color indexed="8"/>
        <rFont val="돋움"/>
        <family val="3"/>
        <charset val="129"/>
      </rPr>
      <t>매출</t>
    </r>
    <r>
      <rPr>
        <sz val="11"/>
        <color indexed="8"/>
        <rFont val="Trebuchet MS"/>
        <family val="2"/>
      </rPr>
      <t xml:space="preserve"> </t>
    </r>
    <r>
      <rPr>
        <sz val="11"/>
        <color indexed="8"/>
        <rFont val="돋움"/>
        <family val="3"/>
        <charset val="129"/>
      </rPr>
      <t>감소</t>
    </r>
    <phoneticPr fontId="6" type="noConversion"/>
  </si>
  <si>
    <t>Company
Certification</t>
    <phoneticPr fontId="6" type="noConversion"/>
  </si>
  <si>
    <t>ISO 인증 여부</t>
    <phoneticPr fontId="6" type="noConversion"/>
  </si>
  <si>
    <r>
      <t xml:space="preserve">ISO </t>
    </r>
    <r>
      <rPr>
        <sz val="11"/>
        <color indexed="8"/>
        <rFont val="돋움"/>
        <family val="3"/>
        <charset val="129"/>
      </rPr>
      <t>인증서</t>
    </r>
    <r>
      <rPr>
        <sz val="11"/>
        <color indexed="8"/>
        <rFont val="Trebuchet MS"/>
        <family val="2"/>
      </rPr>
      <t xml:space="preserve"> 3</t>
    </r>
    <r>
      <rPr>
        <sz val="11"/>
        <color indexed="8"/>
        <rFont val="돋움"/>
        <family val="3"/>
        <charset val="129"/>
      </rPr>
      <t>개</t>
    </r>
    <r>
      <rPr>
        <sz val="11"/>
        <color indexed="8"/>
        <rFont val="Trebuchet MS"/>
        <family val="2"/>
      </rPr>
      <t xml:space="preserve"> </t>
    </r>
    <r>
      <rPr>
        <sz val="11"/>
        <color indexed="8"/>
        <rFont val="돋움"/>
        <family val="3"/>
        <charset val="129"/>
      </rPr>
      <t>이상</t>
    </r>
    <phoneticPr fontId="6" type="noConversion"/>
  </si>
  <si>
    <r>
      <t xml:space="preserve">ISO </t>
    </r>
    <r>
      <rPr>
        <sz val="11"/>
        <color indexed="8"/>
        <rFont val="돋움"/>
        <family val="3"/>
        <charset val="129"/>
      </rPr>
      <t>인증서</t>
    </r>
    <r>
      <rPr>
        <sz val="11"/>
        <color indexed="8"/>
        <rFont val="Trebuchet MS"/>
        <family val="2"/>
      </rPr>
      <t xml:space="preserve"> 2</t>
    </r>
    <r>
      <rPr>
        <sz val="11"/>
        <color indexed="8"/>
        <rFont val="돋움"/>
        <family val="3"/>
        <charset val="129"/>
      </rPr>
      <t>개</t>
    </r>
    <phoneticPr fontId="6" type="noConversion"/>
  </si>
  <si>
    <r>
      <t xml:space="preserve">ISO </t>
    </r>
    <r>
      <rPr>
        <sz val="11"/>
        <color indexed="8"/>
        <rFont val="돋움"/>
        <family val="3"/>
        <charset val="129"/>
      </rPr>
      <t>인증서</t>
    </r>
    <r>
      <rPr>
        <sz val="11"/>
        <color indexed="8"/>
        <rFont val="Trebuchet MS"/>
        <family val="2"/>
      </rPr>
      <t xml:space="preserve"> 1</t>
    </r>
    <r>
      <rPr>
        <sz val="11"/>
        <color indexed="8"/>
        <rFont val="돋움"/>
        <family val="3"/>
        <charset val="129"/>
      </rPr>
      <t>개</t>
    </r>
    <phoneticPr fontId="6" type="noConversion"/>
  </si>
  <si>
    <t>없음</t>
    <phoneticPr fontId="6" type="noConversion"/>
  </si>
  <si>
    <t>Account Manger
for PSA Busan</t>
    <phoneticPr fontId="6" type="noConversion"/>
  </si>
  <si>
    <t>전담 조직 구성</t>
    <phoneticPr fontId="6" type="noConversion"/>
  </si>
  <si>
    <t>전문인력으로 전담조직 구성</t>
  </si>
  <si>
    <t>비전문인력으로 전담조직은 구성</t>
  </si>
  <si>
    <t>전담조직은 없으나 담당자 1인 지정</t>
  </si>
  <si>
    <t>담당자가 수시로 변경되며 인수인계 부정확</t>
  </si>
  <si>
    <t>Historical Business Status</t>
    <phoneticPr fontId="6" type="noConversion"/>
  </si>
  <si>
    <t>당사와의 거래이력</t>
    <phoneticPr fontId="6" type="noConversion"/>
  </si>
  <si>
    <t>5년 이상</t>
  </si>
  <si>
    <t>3년 이상 5년 미만</t>
  </si>
  <si>
    <t>1년 이상 3년 미만</t>
  </si>
  <si>
    <t>1년 미만</t>
  </si>
  <si>
    <r>
      <t xml:space="preserve">Remarks: </t>
    </r>
    <r>
      <rPr>
        <sz val="11"/>
        <rFont val="돋움"/>
        <family val="3"/>
        <charset val="129"/>
      </rPr>
      <t>구매</t>
    </r>
    <r>
      <rPr>
        <sz val="11"/>
        <rFont val="Trebuchet MS"/>
        <family val="2"/>
      </rPr>
      <t xml:space="preserve"> </t>
    </r>
    <r>
      <rPr>
        <sz val="11"/>
        <rFont val="돋움"/>
        <family val="3"/>
        <charset val="129"/>
      </rPr>
      <t>자재</t>
    </r>
    <r>
      <rPr>
        <sz val="11"/>
        <rFont val="Trebuchet MS"/>
        <family val="2"/>
      </rPr>
      <t xml:space="preserve"> </t>
    </r>
    <r>
      <rPr>
        <sz val="11"/>
        <rFont val="돋움"/>
        <family val="3"/>
        <charset val="129"/>
      </rPr>
      <t>업체의</t>
    </r>
    <r>
      <rPr>
        <sz val="11"/>
        <rFont val="Trebuchet MS"/>
        <family val="2"/>
      </rPr>
      <t xml:space="preserve"> </t>
    </r>
    <r>
      <rPr>
        <sz val="11"/>
        <rFont val="돋움"/>
        <family val="3"/>
        <charset val="129"/>
      </rPr>
      <t>경우</t>
    </r>
    <r>
      <rPr>
        <sz val="11"/>
        <rFont val="Trebuchet MS"/>
        <family val="2"/>
      </rPr>
      <t xml:space="preserve"> Price, Quality, Service Level &amp; Delivery/Response</t>
    </r>
    <r>
      <rPr>
        <sz val="11"/>
        <rFont val="돋움"/>
        <family val="3"/>
        <charset val="129"/>
      </rPr>
      <t>를</t>
    </r>
    <r>
      <rPr>
        <sz val="11"/>
        <rFont val="Trebuchet MS"/>
        <family val="2"/>
      </rPr>
      <t xml:space="preserve"> </t>
    </r>
    <r>
      <rPr>
        <sz val="11"/>
        <rFont val="돋움"/>
        <family val="3"/>
        <charset val="129"/>
      </rPr>
      <t>기준으로</t>
    </r>
    <r>
      <rPr>
        <sz val="11"/>
        <rFont val="Trebuchet MS"/>
        <family val="2"/>
      </rPr>
      <t xml:space="preserve"> </t>
    </r>
    <r>
      <rPr>
        <sz val="11"/>
        <rFont val="돋움"/>
        <family val="3"/>
        <charset val="129"/>
      </rPr>
      <t>실적평가를</t>
    </r>
    <r>
      <rPr>
        <sz val="11"/>
        <rFont val="Trebuchet MS"/>
        <family val="2"/>
      </rPr>
      <t xml:space="preserve"> </t>
    </r>
    <r>
      <rPr>
        <sz val="11"/>
        <rFont val="돋움"/>
        <family val="3"/>
        <charset val="129"/>
      </rPr>
      <t>실시함</t>
    </r>
    <phoneticPr fontId="6" type="noConversion"/>
  </si>
  <si>
    <t>Supplier Performance</t>
    <phoneticPr fontId="6" type="noConversion"/>
  </si>
  <si>
    <t>Price</t>
    <phoneticPr fontId="6" type="noConversion"/>
  </si>
  <si>
    <t>원가절감율
 (전체발주액 대비 할인액 비율)</t>
    <phoneticPr fontId="6" type="noConversion"/>
  </si>
  <si>
    <t>5% 이상</t>
  </si>
  <si>
    <t>3~5% 미만</t>
  </si>
  <si>
    <t>3% 미만</t>
  </si>
  <si>
    <t>전혀없다</t>
  </si>
  <si>
    <t>Quality</t>
    <phoneticPr fontId="6" type="noConversion"/>
  </si>
  <si>
    <t>품질관리</t>
    <phoneticPr fontId="6" type="noConversion"/>
  </si>
  <si>
    <t>품질관리 방식 및 실시상황이 매우 양호</t>
  </si>
  <si>
    <t>품질관리 방식 및 실시상황이 양호</t>
  </si>
  <si>
    <t>품질관리 방식 및 실시상황이 미흡</t>
  </si>
  <si>
    <t>품질관리 방식 및 실시상황이 매우 미흡</t>
  </si>
  <si>
    <t>CLAIM 발생 빈도</t>
    <phoneticPr fontId="6" type="noConversion"/>
  </si>
  <si>
    <t>전체 발주건수대비 1% 미만</t>
  </si>
  <si>
    <t>전체 발주건수대비 1% 이상 3% 미만</t>
  </si>
  <si>
    <t>전체 발주건수대비 3% 이상 5% 미만</t>
  </si>
  <si>
    <t>전체 발주건수대비 5% 이상</t>
  </si>
  <si>
    <t>Service Level</t>
    <phoneticPr fontId="6" type="noConversion"/>
  </si>
  <si>
    <t>CLAIM 사후관리</t>
    <phoneticPr fontId="6" type="noConversion"/>
  </si>
  <si>
    <t>현장 방문 등 적극적이고 즉각적인 교환 조치 이루어 짐</t>
  </si>
  <si>
    <t>현장 방문은 없으나 자재의 즉각적인 재보급</t>
  </si>
  <si>
    <t>현장 방문 없으며, 반품자재의 수령후 신품 재보급</t>
  </si>
  <si>
    <t>교환 등 사후조치 없음</t>
  </si>
  <si>
    <t>견적불가 및 지연</t>
    <phoneticPr fontId="6" type="noConversion"/>
  </si>
  <si>
    <t>전체 청구건 중 10% 미만</t>
  </si>
  <si>
    <t>전체 청구건 중 10% 이상 20% 미만</t>
  </si>
  <si>
    <t>전체 청구건 중 20% 이상 30% 미만</t>
  </si>
  <si>
    <t>전체 청구건 중 30% 이상</t>
  </si>
  <si>
    <t>단종 및 SPEC 불명확 자재 대응도</t>
    <phoneticPr fontId="6" type="noConversion"/>
  </si>
  <si>
    <t>능동적으로 도면 및 샘플 확보 (정비팀 및 본선)</t>
  </si>
  <si>
    <t>수동적으로 도면 및 샘플 확보 (구매팀으로 요청)</t>
  </si>
  <si>
    <t>견적 불가로 처리</t>
  </si>
  <si>
    <t>대응 없음 (PENDING)</t>
  </si>
  <si>
    <t>긴급/소량, 발주 취소 대응 처리건</t>
    <phoneticPr fontId="6" type="noConversion"/>
  </si>
  <si>
    <t>요청건 대비 80% 이상</t>
  </si>
  <si>
    <t>요청건 대비 60% 이상 80% 미만</t>
  </si>
  <si>
    <t>요청건 대비 40% 이상 60% 미만</t>
  </si>
  <si>
    <t>요청건 대비 40% 미만</t>
  </si>
  <si>
    <t>문서처리(VBS, RFQ, 거래명세서) 기한내 불이행율</t>
    <phoneticPr fontId="6" type="noConversion"/>
  </si>
  <si>
    <t>전체 건수대비 1% 미만</t>
  </si>
  <si>
    <t>전체 건수대비 1% 이상 3% 미만</t>
  </si>
  <si>
    <t>전체 건수대비 3% 이상 5% 미만</t>
  </si>
  <si>
    <t>전체 건수대비 5% 미만</t>
  </si>
  <si>
    <t>Delivery &amp; Response</t>
    <phoneticPr fontId="6" type="noConversion"/>
  </si>
  <si>
    <t>납기관리</t>
    <phoneticPr fontId="6" type="noConversion"/>
  </si>
  <si>
    <t>관리방식이 확립되고 작업의 추진상황이 명확함</t>
  </si>
  <si>
    <t>납기관리를 행하고 있으며 방법에 개선의 여지가 있음</t>
  </si>
  <si>
    <t>납기관리를 행하고 있으나 방법에 개선의 여지가 없음</t>
  </si>
  <si>
    <t>관리상황이 나쁘며 작업의 진보상황이 불명확</t>
  </si>
  <si>
    <t>납기준수</t>
    <phoneticPr fontId="6" type="noConversion"/>
  </si>
  <si>
    <t>납기 준수율이 80% 이상</t>
  </si>
  <si>
    <t>납기 준수율이 60% 이상 80% 미만</t>
  </si>
  <si>
    <t>납기 준수율이 40% 이상 60% 미만</t>
  </si>
  <si>
    <t>납기 준수율이 40%미만</t>
  </si>
  <si>
    <t xml:space="preserve">3.Supplier Assessment Total Score </t>
    <phoneticPr fontId="6" type="noConversion"/>
  </si>
  <si>
    <t>Capability</t>
  </si>
  <si>
    <t>Financial Stability</t>
    <phoneticPr fontId="6" type="noConversion"/>
  </si>
  <si>
    <t>Account Manger</t>
    <phoneticPr fontId="6" type="noConversion"/>
  </si>
  <si>
    <t>Historical Status</t>
    <phoneticPr fontId="22" type="noConversion"/>
  </si>
  <si>
    <t>Price</t>
  </si>
  <si>
    <t>Quality</t>
  </si>
  <si>
    <t>Service Level</t>
  </si>
  <si>
    <t>Delivery &amp; Response</t>
  </si>
  <si>
    <t>[일반사항]</t>
    <phoneticPr fontId="6" type="noConversion"/>
  </si>
  <si>
    <t>사업자등록번호</t>
    <phoneticPr fontId="6" type="noConversion"/>
  </si>
  <si>
    <t>전화번호</t>
    <phoneticPr fontId="6" type="noConversion"/>
  </si>
  <si>
    <t>본사주소지</t>
    <phoneticPr fontId="6" type="noConversion"/>
  </si>
  <si>
    <t>근로자수</t>
    <phoneticPr fontId="6" type="noConversion"/>
  </si>
  <si>
    <t>안전∙보건 관리책임자</t>
    <phoneticPr fontId="6" type="noConversion"/>
  </si>
  <si>
    <t>현장 책임자</t>
    <phoneticPr fontId="6" type="noConversion"/>
  </si>
  <si>
    <t>안전관리자</t>
    <phoneticPr fontId="6" type="noConversion"/>
  </si>
  <si>
    <t>보건관리자</t>
    <phoneticPr fontId="6" type="noConversion"/>
  </si>
  <si>
    <t>NO.</t>
    <phoneticPr fontId="6" type="noConversion"/>
  </si>
  <si>
    <t>질의내용</t>
    <phoneticPr fontId="6" type="noConversion"/>
  </si>
  <si>
    <t>답변</t>
    <phoneticPr fontId="6" type="noConversion"/>
  </si>
  <si>
    <t>체크</t>
    <phoneticPr fontId="6" type="noConversion"/>
  </si>
  <si>
    <t>현황설명</t>
    <phoneticPr fontId="6" type="noConversion"/>
  </si>
  <si>
    <t>비고</t>
    <phoneticPr fontId="6" type="noConversion"/>
  </si>
  <si>
    <t>인증서사본 제출요망</t>
    <phoneticPr fontId="6" type="noConversion"/>
  </si>
  <si>
    <t>1. YES</t>
    <phoneticPr fontId="6" type="noConversion"/>
  </si>
  <si>
    <t>2. NO</t>
    <phoneticPr fontId="6" type="noConversion"/>
  </si>
  <si>
    <t>1. 1건이하</t>
    <phoneticPr fontId="6" type="noConversion"/>
  </si>
  <si>
    <t>2. 2건이상 ~ 4건미만</t>
    <phoneticPr fontId="6" type="noConversion"/>
  </si>
  <si>
    <t>4. 6건이상 ~ 8건미만</t>
    <phoneticPr fontId="6" type="noConversion"/>
  </si>
  <si>
    <t>5. 8건이상</t>
    <phoneticPr fontId="6" type="noConversion"/>
  </si>
  <si>
    <r>
      <t>A.</t>
    </r>
    <r>
      <rPr>
        <b/>
        <sz val="11"/>
        <rFont val="돋움"/>
        <family val="3"/>
        <charset val="129"/>
      </rPr>
      <t>공급사</t>
    </r>
    <r>
      <rPr>
        <b/>
        <sz val="11"/>
        <rFont val="Trebuchet MS"/>
        <family val="2"/>
      </rPr>
      <t xml:space="preserve"> </t>
    </r>
    <r>
      <rPr>
        <b/>
        <sz val="11"/>
        <rFont val="돋움"/>
        <family val="3"/>
        <charset val="129"/>
      </rPr>
      <t>평가및</t>
    </r>
    <r>
      <rPr>
        <b/>
        <sz val="11"/>
        <rFont val="Trebuchet MS"/>
        <family val="2"/>
      </rPr>
      <t xml:space="preserve"> </t>
    </r>
    <r>
      <rPr>
        <b/>
        <sz val="11"/>
        <rFont val="돋움"/>
        <family val="3"/>
        <charset val="129"/>
      </rPr>
      <t>검증</t>
    </r>
    <phoneticPr fontId="13" type="noConversion"/>
  </si>
  <si>
    <r>
      <rPr>
        <sz val="11"/>
        <rFont val="돋움"/>
        <family val="3"/>
        <charset val="129"/>
      </rPr>
      <t>공급사는</t>
    </r>
    <r>
      <rPr>
        <sz val="11"/>
        <rFont val="Trebuchet MS"/>
        <family val="2"/>
      </rPr>
      <t xml:space="preserve"> PSA Busan</t>
    </r>
    <r>
      <rPr>
        <sz val="11"/>
        <rFont val="돋움"/>
        <family val="3"/>
        <charset val="129"/>
      </rPr>
      <t>의</t>
    </r>
    <r>
      <rPr>
        <sz val="11"/>
        <rFont val="Trebuchet MS"/>
        <family val="2"/>
      </rPr>
      <t xml:space="preserve"> </t>
    </r>
    <r>
      <rPr>
        <sz val="11"/>
        <rFont val="돋움"/>
        <family val="3"/>
        <charset val="129"/>
      </rPr>
      <t>공급사로써의</t>
    </r>
    <r>
      <rPr>
        <sz val="11"/>
        <rFont val="Trebuchet MS"/>
        <family val="2"/>
      </rPr>
      <t xml:space="preserve"> </t>
    </r>
    <r>
      <rPr>
        <sz val="11"/>
        <rFont val="돋움"/>
        <family val="3"/>
        <charset val="129"/>
      </rPr>
      <t>자격</t>
    </r>
    <r>
      <rPr>
        <sz val="11"/>
        <rFont val="Trebuchet MS"/>
        <family val="2"/>
      </rPr>
      <t xml:space="preserve"> </t>
    </r>
    <r>
      <rPr>
        <sz val="11"/>
        <rFont val="돋움"/>
        <family val="3"/>
        <charset val="129"/>
      </rPr>
      <t>요건을</t>
    </r>
    <r>
      <rPr>
        <sz val="11"/>
        <rFont val="Trebuchet MS"/>
        <family val="2"/>
      </rPr>
      <t xml:space="preserve"> </t>
    </r>
    <r>
      <rPr>
        <sz val="11"/>
        <rFont val="돋움"/>
        <family val="3"/>
        <charset val="129"/>
      </rPr>
      <t>갖추었는가</t>
    </r>
    <r>
      <rPr>
        <sz val="11"/>
        <rFont val="Trebuchet MS"/>
        <family val="2"/>
      </rPr>
      <t>?</t>
    </r>
    <phoneticPr fontId="13" type="noConversion"/>
  </si>
  <si>
    <r>
      <t>PSA Busan</t>
    </r>
    <r>
      <rPr>
        <sz val="11"/>
        <rFont val="돋움"/>
        <family val="3"/>
        <charset val="129"/>
      </rPr>
      <t>의</t>
    </r>
    <r>
      <rPr>
        <sz val="11"/>
        <rFont val="Trebuchet MS"/>
        <family val="2"/>
      </rPr>
      <t xml:space="preserve"> </t>
    </r>
    <r>
      <rPr>
        <sz val="11"/>
        <rFont val="돋움"/>
        <family val="3"/>
        <charset val="129"/>
      </rPr>
      <t>공급사가</t>
    </r>
    <r>
      <rPr>
        <sz val="11"/>
        <rFont val="Trebuchet MS"/>
        <family val="2"/>
      </rPr>
      <t xml:space="preserve"> </t>
    </r>
    <r>
      <rPr>
        <sz val="11"/>
        <rFont val="돋움"/>
        <family val="3"/>
        <charset val="129"/>
      </rPr>
      <t>되기</t>
    </r>
    <r>
      <rPr>
        <sz val="11"/>
        <rFont val="Trebuchet MS"/>
        <family val="2"/>
      </rPr>
      <t xml:space="preserve"> </t>
    </r>
    <r>
      <rPr>
        <sz val="11"/>
        <rFont val="돋움"/>
        <family val="3"/>
        <charset val="129"/>
      </rPr>
      <t>위한</t>
    </r>
    <r>
      <rPr>
        <sz val="11"/>
        <rFont val="Trebuchet MS"/>
        <family val="2"/>
      </rPr>
      <t xml:space="preserve"> </t>
    </r>
    <r>
      <rPr>
        <sz val="11"/>
        <rFont val="돋움"/>
        <family val="3"/>
        <charset val="129"/>
      </rPr>
      <t>정해진</t>
    </r>
    <r>
      <rPr>
        <sz val="11"/>
        <rFont val="Trebuchet MS"/>
        <family val="2"/>
      </rPr>
      <t xml:space="preserve"> </t>
    </r>
    <r>
      <rPr>
        <sz val="11"/>
        <rFont val="돋움"/>
        <family val="3"/>
        <charset val="129"/>
      </rPr>
      <t>검증</t>
    </r>
    <r>
      <rPr>
        <sz val="11"/>
        <rFont val="Trebuchet MS"/>
        <family val="2"/>
      </rPr>
      <t xml:space="preserve">(Qualification) </t>
    </r>
    <r>
      <rPr>
        <sz val="11"/>
        <rFont val="돋움"/>
        <family val="3"/>
        <charset val="129"/>
      </rPr>
      <t>과정을</t>
    </r>
    <r>
      <rPr>
        <sz val="11"/>
        <rFont val="Trebuchet MS"/>
        <family val="2"/>
      </rPr>
      <t xml:space="preserve"> </t>
    </r>
    <r>
      <rPr>
        <sz val="11"/>
        <rFont val="돋움"/>
        <family val="3"/>
        <charset val="129"/>
      </rPr>
      <t>통과하고</t>
    </r>
    <r>
      <rPr>
        <sz val="11"/>
        <rFont val="Trebuchet MS"/>
        <family val="2"/>
      </rPr>
      <t xml:space="preserve"> </t>
    </r>
    <r>
      <rPr>
        <sz val="11"/>
        <rFont val="돋움"/>
        <family val="3"/>
        <charset val="129"/>
      </rPr>
      <t>입찰위원회의</t>
    </r>
    <r>
      <rPr>
        <sz val="11"/>
        <rFont val="Trebuchet MS"/>
        <family val="2"/>
      </rPr>
      <t xml:space="preserve"> </t>
    </r>
    <r>
      <rPr>
        <sz val="11"/>
        <rFont val="돋움"/>
        <family val="3"/>
        <charset val="129"/>
      </rPr>
      <t>승인을</t>
    </r>
    <r>
      <rPr>
        <sz val="11"/>
        <rFont val="Trebuchet MS"/>
        <family val="2"/>
      </rPr>
      <t xml:space="preserve"> </t>
    </r>
    <r>
      <rPr>
        <sz val="11"/>
        <rFont val="돋움"/>
        <family val="3"/>
        <charset val="129"/>
      </rPr>
      <t>득하였는가</t>
    </r>
    <r>
      <rPr>
        <sz val="11"/>
        <rFont val="Trebuchet MS"/>
        <family val="2"/>
      </rPr>
      <t>?</t>
    </r>
    <phoneticPr fontId="13" type="noConversion"/>
  </si>
  <si>
    <r>
      <rPr>
        <sz val="11"/>
        <rFont val="돋움"/>
        <family val="3"/>
        <charset val="129"/>
      </rPr>
      <t>공급사의</t>
    </r>
    <r>
      <rPr>
        <sz val="11"/>
        <rFont val="Trebuchet MS"/>
        <family val="2"/>
      </rPr>
      <t xml:space="preserve"> </t>
    </r>
    <r>
      <rPr>
        <sz val="11"/>
        <rFont val="돋움"/>
        <family val="3"/>
        <charset val="129"/>
      </rPr>
      <t>자격</t>
    </r>
    <r>
      <rPr>
        <sz val="11"/>
        <rFont val="Trebuchet MS"/>
        <family val="2"/>
      </rPr>
      <t xml:space="preserve"> </t>
    </r>
    <r>
      <rPr>
        <sz val="11"/>
        <rFont val="돋움"/>
        <family val="3"/>
        <charset val="129"/>
      </rPr>
      <t>상실</t>
    </r>
    <r>
      <rPr>
        <sz val="11"/>
        <rFont val="Trebuchet MS"/>
        <family val="2"/>
      </rPr>
      <t xml:space="preserve"> </t>
    </r>
    <r>
      <rPr>
        <sz val="11"/>
        <rFont val="돋움"/>
        <family val="3"/>
        <charset val="129"/>
      </rPr>
      <t>요건을</t>
    </r>
    <r>
      <rPr>
        <sz val="11"/>
        <rFont val="Trebuchet MS"/>
        <family val="2"/>
      </rPr>
      <t xml:space="preserve"> </t>
    </r>
    <r>
      <rPr>
        <sz val="11"/>
        <rFont val="돋움"/>
        <family val="3"/>
        <charset val="129"/>
      </rPr>
      <t>충족하는</t>
    </r>
    <r>
      <rPr>
        <sz val="11"/>
        <rFont val="Trebuchet MS"/>
        <family val="2"/>
      </rPr>
      <t xml:space="preserve"> 
</t>
    </r>
    <r>
      <rPr>
        <sz val="11"/>
        <rFont val="돋움"/>
        <family val="3"/>
        <charset val="129"/>
      </rPr>
      <t>공급사에</t>
    </r>
    <r>
      <rPr>
        <sz val="11"/>
        <rFont val="Trebuchet MS"/>
        <family val="2"/>
      </rPr>
      <t xml:space="preserve"> </t>
    </r>
    <r>
      <rPr>
        <sz val="11"/>
        <rFont val="돋움"/>
        <family val="3"/>
        <charset val="129"/>
      </rPr>
      <t>대한</t>
    </r>
    <r>
      <rPr>
        <sz val="11"/>
        <rFont val="Trebuchet MS"/>
        <family val="2"/>
      </rPr>
      <t xml:space="preserve"> </t>
    </r>
    <r>
      <rPr>
        <sz val="11"/>
        <rFont val="돋움"/>
        <family val="3"/>
        <charset val="129"/>
      </rPr>
      <t>자격</t>
    </r>
    <r>
      <rPr>
        <sz val="11"/>
        <rFont val="Trebuchet MS"/>
        <family val="2"/>
      </rPr>
      <t xml:space="preserve"> </t>
    </r>
    <r>
      <rPr>
        <sz val="11"/>
        <rFont val="돋움"/>
        <family val="3"/>
        <charset val="129"/>
      </rPr>
      <t>상실</t>
    </r>
    <r>
      <rPr>
        <sz val="11"/>
        <rFont val="Trebuchet MS"/>
        <family val="2"/>
      </rPr>
      <t xml:space="preserve"> </t>
    </r>
    <r>
      <rPr>
        <sz val="11"/>
        <rFont val="돋움"/>
        <family val="3"/>
        <charset val="129"/>
      </rPr>
      <t>처리를</t>
    </r>
    <r>
      <rPr>
        <sz val="11"/>
        <rFont val="Trebuchet MS"/>
        <family val="2"/>
      </rPr>
      <t xml:space="preserve"> </t>
    </r>
    <r>
      <rPr>
        <sz val="11"/>
        <rFont val="돋움"/>
        <family val="3"/>
        <charset val="129"/>
      </rPr>
      <t>실시하고</t>
    </r>
    <r>
      <rPr>
        <sz val="11"/>
        <rFont val="Trebuchet MS"/>
        <family val="2"/>
      </rPr>
      <t xml:space="preserve"> </t>
    </r>
    <r>
      <rPr>
        <sz val="11"/>
        <rFont val="돋움"/>
        <family val="3"/>
        <charset val="129"/>
      </rPr>
      <t>있는가</t>
    </r>
    <r>
      <rPr>
        <sz val="11"/>
        <rFont val="Trebuchet MS"/>
        <family val="2"/>
      </rPr>
      <t>?</t>
    </r>
    <phoneticPr fontId="13" type="noConversion"/>
  </si>
  <si>
    <r>
      <rPr>
        <sz val="11"/>
        <rFont val="돋움"/>
        <family val="3"/>
        <charset val="129"/>
      </rPr>
      <t>공급사</t>
    </r>
    <r>
      <rPr>
        <sz val="11"/>
        <rFont val="Trebuchet MS"/>
        <family val="2"/>
      </rPr>
      <t xml:space="preserve"> </t>
    </r>
    <r>
      <rPr>
        <sz val="11"/>
        <rFont val="돋움"/>
        <family val="3"/>
        <charset val="129"/>
      </rPr>
      <t>자격</t>
    </r>
    <r>
      <rPr>
        <sz val="11"/>
        <rFont val="Trebuchet MS"/>
        <family val="2"/>
      </rPr>
      <t xml:space="preserve"> </t>
    </r>
    <r>
      <rPr>
        <sz val="11"/>
        <rFont val="돋움"/>
        <family val="3"/>
        <charset val="129"/>
      </rPr>
      <t>상실</t>
    </r>
    <r>
      <rPr>
        <sz val="11"/>
        <rFont val="Trebuchet MS"/>
        <family val="2"/>
      </rPr>
      <t xml:space="preserve"> </t>
    </r>
    <r>
      <rPr>
        <sz val="11"/>
        <rFont val="돋움"/>
        <family val="3"/>
        <charset val="129"/>
      </rPr>
      <t>예외</t>
    </r>
    <r>
      <rPr>
        <sz val="11"/>
        <rFont val="Trebuchet MS"/>
        <family val="2"/>
      </rPr>
      <t xml:space="preserve"> Case</t>
    </r>
    <r>
      <rPr>
        <sz val="11"/>
        <rFont val="돋움"/>
        <family val="3"/>
        <charset val="129"/>
      </rPr>
      <t>에</t>
    </r>
    <r>
      <rPr>
        <sz val="11"/>
        <rFont val="Trebuchet MS"/>
        <family val="2"/>
      </rPr>
      <t xml:space="preserve"> </t>
    </r>
    <r>
      <rPr>
        <sz val="11"/>
        <rFont val="돋움"/>
        <family val="3"/>
        <charset val="129"/>
      </rPr>
      <t>대해</t>
    </r>
    <r>
      <rPr>
        <sz val="11"/>
        <rFont val="Trebuchet MS"/>
        <family val="2"/>
      </rPr>
      <t xml:space="preserve"> </t>
    </r>
    <r>
      <rPr>
        <sz val="11"/>
        <rFont val="돋움"/>
        <family val="3"/>
        <charset val="129"/>
      </rPr>
      <t>대표이사의</t>
    </r>
    <r>
      <rPr>
        <sz val="11"/>
        <rFont val="Trebuchet MS"/>
        <family val="2"/>
      </rPr>
      <t xml:space="preserve"> </t>
    </r>
    <r>
      <rPr>
        <sz val="11"/>
        <rFont val="돋움"/>
        <family val="3"/>
        <charset val="129"/>
      </rPr>
      <t>승인을</t>
    </r>
    <r>
      <rPr>
        <sz val="11"/>
        <rFont val="Trebuchet MS"/>
        <family val="2"/>
      </rPr>
      <t xml:space="preserve"> </t>
    </r>
    <r>
      <rPr>
        <sz val="11"/>
        <rFont val="돋움"/>
        <family val="3"/>
        <charset val="129"/>
      </rPr>
      <t>득하였는가</t>
    </r>
    <r>
      <rPr>
        <sz val="11"/>
        <rFont val="Trebuchet MS"/>
        <family val="2"/>
      </rPr>
      <t>?</t>
    </r>
    <phoneticPr fontId="13" type="noConversion"/>
  </si>
  <si>
    <r>
      <rPr>
        <sz val="11"/>
        <rFont val="돋움"/>
        <family val="3"/>
        <charset val="129"/>
      </rPr>
      <t>구매</t>
    </r>
    <r>
      <rPr>
        <sz val="11"/>
        <rFont val="Trebuchet MS"/>
        <family val="2"/>
      </rPr>
      <t xml:space="preserve"> Policy </t>
    </r>
    <r>
      <rPr>
        <sz val="11"/>
        <rFont val="돋움"/>
        <family val="3"/>
        <charset val="129"/>
      </rPr>
      <t>적용</t>
    </r>
    <r>
      <rPr>
        <sz val="11"/>
        <rFont val="Trebuchet MS"/>
        <family val="2"/>
      </rPr>
      <t xml:space="preserve"> </t>
    </r>
    <r>
      <rPr>
        <sz val="11"/>
        <rFont val="돋움"/>
        <family val="3"/>
        <charset val="129"/>
      </rPr>
      <t>대상</t>
    </r>
    <r>
      <rPr>
        <sz val="11"/>
        <rFont val="Trebuchet MS"/>
        <family val="2"/>
      </rPr>
      <t xml:space="preserve"> </t>
    </r>
    <r>
      <rPr>
        <sz val="11"/>
        <rFont val="돋움"/>
        <family val="3"/>
        <charset val="129"/>
      </rPr>
      <t>공급사에</t>
    </r>
    <r>
      <rPr>
        <sz val="11"/>
        <rFont val="Trebuchet MS"/>
        <family val="2"/>
      </rPr>
      <t xml:space="preserve"> </t>
    </r>
    <r>
      <rPr>
        <sz val="11"/>
        <rFont val="돋움"/>
        <family val="3"/>
        <charset val="129"/>
      </rPr>
      <t>대한</t>
    </r>
    <r>
      <rPr>
        <sz val="11"/>
        <rFont val="Trebuchet MS"/>
        <family val="2"/>
      </rPr>
      <t xml:space="preserve"> </t>
    </r>
    <r>
      <rPr>
        <sz val="11"/>
        <rFont val="돋움"/>
        <family val="3"/>
        <charset val="129"/>
      </rPr>
      <t>평가를</t>
    </r>
    <r>
      <rPr>
        <sz val="11"/>
        <rFont val="Trebuchet MS"/>
        <family val="2"/>
      </rPr>
      <t xml:space="preserve"> </t>
    </r>
    <r>
      <rPr>
        <sz val="11"/>
        <rFont val="돋움"/>
        <family val="3"/>
        <charset val="129"/>
      </rPr>
      <t>실시하였는가</t>
    </r>
    <r>
      <rPr>
        <sz val="11"/>
        <rFont val="Trebuchet MS"/>
        <family val="2"/>
      </rPr>
      <t>?</t>
    </r>
    <phoneticPr fontId="13" type="noConversion"/>
  </si>
  <si>
    <r>
      <rPr>
        <sz val="11"/>
        <rFont val="돋움"/>
        <family val="3"/>
        <charset val="129"/>
      </rPr>
      <t>입찰이</t>
    </r>
    <r>
      <rPr>
        <sz val="11"/>
        <rFont val="Trebuchet MS"/>
        <family val="2"/>
      </rPr>
      <t xml:space="preserve"> </t>
    </r>
    <r>
      <rPr>
        <sz val="11"/>
        <rFont val="돋움"/>
        <family val="3"/>
        <charset val="129"/>
      </rPr>
      <t>성립하기</t>
    </r>
    <r>
      <rPr>
        <sz val="11"/>
        <rFont val="Trebuchet MS"/>
        <family val="2"/>
      </rPr>
      <t xml:space="preserve"> </t>
    </r>
    <r>
      <rPr>
        <sz val="11"/>
        <rFont val="돋움"/>
        <family val="3"/>
        <charset val="129"/>
      </rPr>
      <t>위해</t>
    </r>
    <r>
      <rPr>
        <sz val="11"/>
        <rFont val="Trebuchet MS"/>
        <family val="2"/>
      </rPr>
      <t xml:space="preserve"> </t>
    </r>
    <r>
      <rPr>
        <sz val="11"/>
        <rFont val="돋움"/>
        <family val="3"/>
        <charset val="129"/>
      </rPr>
      <t>복수의</t>
    </r>
    <r>
      <rPr>
        <sz val="11"/>
        <rFont val="Trebuchet MS"/>
        <family val="2"/>
      </rPr>
      <t xml:space="preserve"> </t>
    </r>
    <r>
      <rPr>
        <sz val="11"/>
        <rFont val="돋움"/>
        <family val="3"/>
        <charset val="129"/>
      </rPr>
      <t>공급사가</t>
    </r>
    <r>
      <rPr>
        <sz val="11"/>
        <rFont val="Trebuchet MS"/>
        <family val="2"/>
      </rPr>
      <t xml:space="preserve"> </t>
    </r>
    <r>
      <rPr>
        <sz val="11"/>
        <rFont val="돋움"/>
        <family val="3"/>
        <charset val="129"/>
      </rPr>
      <t>입찰에</t>
    </r>
    <r>
      <rPr>
        <sz val="11"/>
        <rFont val="Trebuchet MS"/>
        <family val="2"/>
      </rPr>
      <t xml:space="preserve"> </t>
    </r>
    <r>
      <rPr>
        <sz val="11"/>
        <rFont val="돋움"/>
        <family val="3"/>
        <charset val="129"/>
      </rPr>
      <t>참여하였는가</t>
    </r>
    <r>
      <rPr>
        <sz val="11"/>
        <rFont val="Trebuchet MS"/>
        <family val="2"/>
      </rPr>
      <t>?</t>
    </r>
    <phoneticPr fontId="13" type="noConversion"/>
  </si>
  <si>
    <r>
      <rPr>
        <sz val="11"/>
        <rFont val="돋움"/>
        <family val="3"/>
        <charset val="129"/>
      </rPr>
      <t>그렇지</t>
    </r>
    <r>
      <rPr>
        <sz val="11"/>
        <rFont val="Trebuchet MS"/>
        <family val="2"/>
      </rPr>
      <t xml:space="preserve"> </t>
    </r>
    <r>
      <rPr>
        <sz val="11"/>
        <rFont val="돋움"/>
        <family val="3"/>
        <charset val="129"/>
      </rPr>
      <t>않다면</t>
    </r>
    <r>
      <rPr>
        <sz val="11"/>
        <rFont val="Trebuchet MS"/>
        <family val="2"/>
      </rPr>
      <t>, Waiver</t>
    </r>
    <r>
      <rPr>
        <sz val="11"/>
        <rFont val="돋움"/>
        <family val="3"/>
        <charset val="129"/>
      </rPr>
      <t>에</t>
    </r>
    <r>
      <rPr>
        <sz val="11"/>
        <rFont val="Trebuchet MS"/>
        <family val="2"/>
      </rPr>
      <t xml:space="preserve"> </t>
    </r>
    <r>
      <rPr>
        <sz val="11"/>
        <rFont val="돋움"/>
        <family val="3"/>
        <charset val="129"/>
      </rPr>
      <t>대한</t>
    </r>
    <r>
      <rPr>
        <sz val="11"/>
        <rFont val="Trebuchet MS"/>
        <family val="2"/>
      </rPr>
      <t xml:space="preserve"> </t>
    </r>
    <r>
      <rPr>
        <sz val="11"/>
        <rFont val="돋움"/>
        <family val="3"/>
        <charset val="129"/>
      </rPr>
      <t>승인을</t>
    </r>
    <r>
      <rPr>
        <sz val="11"/>
        <rFont val="Trebuchet MS"/>
        <family val="2"/>
      </rPr>
      <t xml:space="preserve"> </t>
    </r>
    <r>
      <rPr>
        <sz val="11"/>
        <rFont val="돋움"/>
        <family val="3"/>
        <charset val="129"/>
      </rPr>
      <t>득하였는가</t>
    </r>
    <r>
      <rPr>
        <sz val="11"/>
        <rFont val="Trebuchet MS"/>
        <family val="2"/>
      </rPr>
      <t xml:space="preserve">? </t>
    </r>
    <phoneticPr fontId="13" type="noConversion"/>
  </si>
  <si>
    <r>
      <rPr>
        <sz val="11"/>
        <rFont val="돋움"/>
        <family val="3"/>
        <charset val="129"/>
      </rPr>
      <t>입찰</t>
    </r>
    <r>
      <rPr>
        <sz val="11"/>
        <rFont val="Trebuchet MS"/>
        <family val="2"/>
      </rPr>
      <t xml:space="preserve"> </t>
    </r>
    <r>
      <rPr>
        <sz val="11"/>
        <rFont val="돋움"/>
        <family val="3"/>
        <charset val="129"/>
      </rPr>
      <t>기본</t>
    </r>
    <r>
      <rPr>
        <sz val="11"/>
        <rFont val="Trebuchet MS"/>
        <family val="2"/>
      </rPr>
      <t xml:space="preserve"> </t>
    </r>
    <r>
      <rPr>
        <sz val="11"/>
        <rFont val="돋움"/>
        <family val="3"/>
        <charset val="129"/>
      </rPr>
      <t>요건이</t>
    </r>
    <r>
      <rPr>
        <sz val="11"/>
        <rFont val="Trebuchet MS"/>
        <family val="2"/>
      </rPr>
      <t xml:space="preserve"> </t>
    </r>
    <r>
      <rPr>
        <sz val="11"/>
        <rFont val="돋움"/>
        <family val="3"/>
        <charset val="129"/>
      </rPr>
      <t>충족되지</t>
    </r>
    <r>
      <rPr>
        <sz val="11"/>
        <rFont val="Trebuchet MS"/>
        <family val="2"/>
      </rPr>
      <t xml:space="preserve"> </t>
    </r>
    <r>
      <rPr>
        <sz val="11"/>
        <rFont val="돋움"/>
        <family val="3"/>
        <charset val="129"/>
      </rPr>
      <t>않은</t>
    </r>
    <r>
      <rPr>
        <sz val="11"/>
        <rFont val="Trebuchet MS"/>
        <family val="2"/>
      </rPr>
      <t xml:space="preserve"> </t>
    </r>
    <r>
      <rPr>
        <sz val="11"/>
        <rFont val="돋움"/>
        <family val="3"/>
        <charset val="129"/>
      </rPr>
      <t>경우</t>
    </r>
    <r>
      <rPr>
        <sz val="11"/>
        <rFont val="Trebuchet MS"/>
        <family val="2"/>
      </rPr>
      <t xml:space="preserve">, 
</t>
    </r>
    <r>
      <rPr>
        <sz val="11"/>
        <rFont val="돋움"/>
        <family val="3"/>
        <charset val="129"/>
      </rPr>
      <t>재입찰이</t>
    </r>
    <r>
      <rPr>
        <sz val="11"/>
        <rFont val="Trebuchet MS"/>
        <family val="2"/>
      </rPr>
      <t xml:space="preserve"> </t>
    </r>
    <r>
      <rPr>
        <sz val="11"/>
        <rFont val="돋움"/>
        <family val="3"/>
        <charset val="129"/>
      </rPr>
      <t>실시되었는가</t>
    </r>
    <r>
      <rPr>
        <sz val="11"/>
        <rFont val="Trebuchet MS"/>
        <family val="2"/>
      </rPr>
      <t>?</t>
    </r>
    <phoneticPr fontId="13" type="noConversion"/>
  </si>
  <si>
    <r>
      <rPr>
        <b/>
        <u/>
        <sz val="10"/>
        <rFont val="돋움"/>
        <family val="3"/>
        <charset val="129"/>
      </rPr>
      <t>재입찰</t>
    </r>
    <r>
      <rPr>
        <b/>
        <u/>
        <sz val="10"/>
        <rFont val="Trebuchet MS"/>
        <family val="2"/>
      </rPr>
      <t xml:space="preserve"> </t>
    </r>
    <r>
      <rPr>
        <b/>
        <u/>
        <sz val="10"/>
        <rFont val="돋움"/>
        <family val="3"/>
        <charset val="129"/>
      </rPr>
      <t>요건</t>
    </r>
    <r>
      <rPr>
        <b/>
        <u/>
        <sz val="10"/>
        <rFont val="Trebuchet MS"/>
        <family val="2"/>
      </rPr>
      <t xml:space="preserve"> </t>
    </r>
    <r>
      <rPr>
        <sz val="10"/>
        <rFont val="Trebuchet MS"/>
        <family val="2"/>
      </rPr>
      <t xml:space="preserve">
1. </t>
    </r>
    <r>
      <rPr>
        <sz val="10"/>
        <rFont val="돋움"/>
        <family val="3"/>
        <charset val="129"/>
      </rPr>
      <t>최소</t>
    </r>
    <r>
      <rPr>
        <sz val="10"/>
        <rFont val="Trebuchet MS"/>
        <family val="2"/>
      </rPr>
      <t xml:space="preserve"> </t>
    </r>
    <r>
      <rPr>
        <sz val="10"/>
        <rFont val="돋움"/>
        <family val="3"/>
        <charset val="129"/>
      </rPr>
      <t>입찰</t>
    </r>
    <r>
      <rPr>
        <sz val="10"/>
        <rFont val="Trebuchet MS"/>
        <family val="2"/>
      </rPr>
      <t xml:space="preserve"> </t>
    </r>
    <r>
      <rPr>
        <sz val="10"/>
        <rFont val="돋움"/>
        <family val="3"/>
        <charset val="129"/>
      </rPr>
      <t>공급사</t>
    </r>
    <r>
      <rPr>
        <sz val="10"/>
        <rFont val="Trebuchet MS"/>
        <family val="2"/>
      </rPr>
      <t xml:space="preserve"> </t>
    </r>
    <r>
      <rPr>
        <sz val="10"/>
        <rFont val="돋움"/>
        <family val="3"/>
        <charset val="129"/>
      </rPr>
      <t>입찰</t>
    </r>
    <r>
      <rPr>
        <sz val="10"/>
        <rFont val="Trebuchet MS"/>
        <family val="2"/>
      </rPr>
      <t xml:space="preserve"> </t>
    </r>
    <r>
      <rPr>
        <sz val="10"/>
        <rFont val="돋움"/>
        <family val="3"/>
        <charset val="129"/>
      </rPr>
      <t>참여하였을</t>
    </r>
    <r>
      <rPr>
        <sz val="10"/>
        <rFont val="Trebuchet MS"/>
        <family val="2"/>
      </rPr>
      <t xml:space="preserve"> </t>
    </r>
    <r>
      <rPr>
        <sz val="10"/>
        <rFont val="돋움"/>
        <family val="3"/>
        <charset val="129"/>
      </rPr>
      <t xml:space="preserve">경우
</t>
    </r>
    <r>
      <rPr>
        <sz val="10"/>
        <rFont val="Trebuchet MS"/>
        <family val="2"/>
      </rPr>
      <t xml:space="preserve">2. </t>
    </r>
    <r>
      <rPr>
        <sz val="10"/>
        <rFont val="돋움"/>
        <family val="3"/>
        <charset val="129"/>
      </rPr>
      <t>입찰</t>
    </r>
    <r>
      <rPr>
        <sz val="10"/>
        <rFont val="Trebuchet MS"/>
        <family val="2"/>
      </rPr>
      <t xml:space="preserve"> </t>
    </r>
    <r>
      <rPr>
        <sz val="10"/>
        <rFont val="돋움"/>
        <family val="3"/>
        <charset val="129"/>
      </rPr>
      <t>과정에서</t>
    </r>
    <r>
      <rPr>
        <sz val="10"/>
        <rFont val="Trebuchet MS"/>
        <family val="2"/>
      </rPr>
      <t xml:space="preserve"> </t>
    </r>
    <r>
      <rPr>
        <sz val="10"/>
        <rFont val="돋움"/>
        <family val="3"/>
        <charset val="129"/>
      </rPr>
      <t>불법적이나</t>
    </r>
    <r>
      <rPr>
        <sz val="10"/>
        <rFont val="Trebuchet MS"/>
        <family val="2"/>
      </rPr>
      <t xml:space="preserve"> </t>
    </r>
    <r>
      <rPr>
        <sz val="10"/>
        <rFont val="돋움"/>
        <family val="3"/>
        <charset val="129"/>
      </rPr>
      <t>불합리한</t>
    </r>
    <r>
      <rPr>
        <sz val="10"/>
        <rFont val="Trebuchet MS"/>
        <family val="2"/>
      </rPr>
      <t xml:space="preserve"> </t>
    </r>
    <r>
      <rPr>
        <sz val="10"/>
        <rFont val="돋움"/>
        <family val="3"/>
        <charset val="129"/>
      </rPr>
      <t>점이</t>
    </r>
    <r>
      <rPr>
        <sz val="10"/>
        <rFont val="Trebuchet MS"/>
        <family val="2"/>
      </rPr>
      <t xml:space="preserve"> </t>
    </r>
    <r>
      <rPr>
        <sz val="10"/>
        <rFont val="돋움"/>
        <family val="3"/>
        <charset val="129"/>
      </rPr>
      <t>개입</t>
    </r>
    <r>
      <rPr>
        <sz val="10"/>
        <rFont val="Trebuchet MS"/>
        <family val="2"/>
      </rPr>
      <t xml:space="preserve"> </t>
    </r>
    <r>
      <rPr>
        <sz val="10"/>
        <rFont val="돋움"/>
        <family val="3"/>
        <charset val="129"/>
      </rPr>
      <t>되었음이</t>
    </r>
    <r>
      <rPr>
        <sz val="10"/>
        <rFont val="Trebuchet MS"/>
        <family val="2"/>
      </rPr>
      <t xml:space="preserve"> </t>
    </r>
    <r>
      <rPr>
        <sz val="10"/>
        <rFont val="돋움"/>
        <family val="3"/>
        <charset val="129"/>
      </rPr>
      <t>확인</t>
    </r>
    <r>
      <rPr>
        <sz val="10"/>
        <rFont val="Trebuchet MS"/>
        <family val="2"/>
      </rPr>
      <t xml:space="preserve"> </t>
    </r>
    <r>
      <rPr>
        <sz val="10"/>
        <rFont val="돋움"/>
        <family val="3"/>
        <charset val="129"/>
      </rPr>
      <t>되었을</t>
    </r>
    <r>
      <rPr>
        <sz val="10"/>
        <rFont val="Trebuchet MS"/>
        <family val="2"/>
      </rPr>
      <t xml:space="preserve"> </t>
    </r>
    <r>
      <rPr>
        <sz val="10"/>
        <rFont val="돋움"/>
        <family val="3"/>
        <charset val="129"/>
      </rPr>
      <t>경우</t>
    </r>
    <phoneticPr fontId="13" type="noConversion"/>
  </si>
  <si>
    <r>
      <rPr>
        <sz val="11"/>
        <rFont val="돋움"/>
        <family val="3"/>
        <charset val="129"/>
      </rPr>
      <t>그렇지</t>
    </r>
    <r>
      <rPr>
        <sz val="11"/>
        <rFont val="Trebuchet MS"/>
        <family val="2"/>
      </rPr>
      <t xml:space="preserve"> </t>
    </r>
    <r>
      <rPr>
        <sz val="11"/>
        <rFont val="돋움"/>
        <family val="3"/>
        <charset val="129"/>
      </rPr>
      <t>않다면</t>
    </r>
    <r>
      <rPr>
        <sz val="11"/>
        <rFont val="Trebuchet MS"/>
        <family val="2"/>
      </rPr>
      <t xml:space="preserve">, </t>
    </r>
    <r>
      <rPr>
        <sz val="11"/>
        <rFont val="돋움"/>
        <family val="3"/>
        <charset val="129"/>
      </rPr>
      <t>입찰</t>
    </r>
    <r>
      <rPr>
        <sz val="11"/>
        <rFont val="Trebuchet MS"/>
        <family val="2"/>
      </rPr>
      <t xml:space="preserve"> </t>
    </r>
    <r>
      <rPr>
        <sz val="11"/>
        <rFont val="돋움"/>
        <family val="3"/>
        <charset val="129"/>
      </rPr>
      <t>기본</t>
    </r>
    <r>
      <rPr>
        <sz val="11"/>
        <rFont val="Trebuchet MS"/>
        <family val="2"/>
      </rPr>
      <t xml:space="preserve"> </t>
    </r>
    <r>
      <rPr>
        <sz val="11"/>
        <rFont val="돋움"/>
        <family val="3"/>
        <charset val="129"/>
      </rPr>
      <t>요건이</t>
    </r>
    <r>
      <rPr>
        <sz val="11"/>
        <rFont val="Trebuchet MS"/>
        <family val="2"/>
      </rPr>
      <t xml:space="preserve"> </t>
    </r>
    <r>
      <rPr>
        <sz val="11"/>
        <rFont val="돋움"/>
        <family val="3"/>
        <charset val="129"/>
      </rPr>
      <t>충족되지</t>
    </r>
    <r>
      <rPr>
        <sz val="11"/>
        <rFont val="Trebuchet MS"/>
        <family val="2"/>
      </rPr>
      <t xml:space="preserve"> </t>
    </r>
    <r>
      <rPr>
        <sz val="11"/>
        <rFont val="돋움"/>
        <family val="3"/>
        <charset val="129"/>
      </rPr>
      <t>않고</t>
    </r>
    <r>
      <rPr>
        <sz val="11"/>
        <rFont val="Trebuchet MS"/>
        <family val="2"/>
      </rPr>
      <t xml:space="preserve">, </t>
    </r>
    <r>
      <rPr>
        <sz val="11"/>
        <rFont val="돋움"/>
        <family val="3"/>
        <charset val="129"/>
      </rPr>
      <t>재입찰도</t>
    </r>
    <r>
      <rPr>
        <sz val="11"/>
        <rFont val="Trebuchet MS"/>
        <family val="2"/>
      </rPr>
      <t xml:space="preserve"> </t>
    </r>
    <r>
      <rPr>
        <sz val="11"/>
        <rFont val="돋움"/>
        <family val="3"/>
        <charset val="129"/>
      </rPr>
      <t>불가능할</t>
    </r>
    <r>
      <rPr>
        <sz val="11"/>
        <rFont val="Trebuchet MS"/>
        <family val="2"/>
      </rPr>
      <t xml:space="preserve"> </t>
    </r>
    <r>
      <rPr>
        <sz val="11"/>
        <rFont val="돋움"/>
        <family val="3"/>
        <charset val="129"/>
      </rPr>
      <t>경우</t>
    </r>
    <r>
      <rPr>
        <sz val="11"/>
        <rFont val="Trebuchet MS"/>
        <family val="2"/>
      </rPr>
      <t>,</t>
    </r>
    <r>
      <rPr>
        <sz val="11"/>
        <rFont val="돋움"/>
        <family val="3"/>
        <charset val="129"/>
      </rPr>
      <t>예외</t>
    </r>
    <r>
      <rPr>
        <sz val="11"/>
        <rFont val="Trebuchet MS"/>
        <family val="2"/>
      </rPr>
      <t xml:space="preserve"> </t>
    </r>
    <r>
      <rPr>
        <sz val="11"/>
        <rFont val="돋움"/>
        <family val="3"/>
        <charset val="129"/>
      </rPr>
      <t>입찰</t>
    </r>
    <r>
      <rPr>
        <sz val="11"/>
        <rFont val="Trebuchet MS"/>
        <family val="2"/>
      </rPr>
      <t>(Exceptional bidding)</t>
    </r>
    <r>
      <rPr>
        <sz val="11"/>
        <rFont val="돋움"/>
        <family val="3"/>
        <charset val="129"/>
      </rPr>
      <t>에</t>
    </r>
    <r>
      <rPr>
        <sz val="11"/>
        <rFont val="Trebuchet MS"/>
        <family val="2"/>
      </rPr>
      <t xml:space="preserve"> </t>
    </r>
    <r>
      <rPr>
        <sz val="11"/>
        <rFont val="돋움"/>
        <family val="3"/>
        <charset val="129"/>
      </rPr>
      <t>대한</t>
    </r>
    <r>
      <rPr>
        <sz val="11"/>
        <rFont val="Trebuchet MS"/>
        <family val="2"/>
      </rPr>
      <t xml:space="preserve"> </t>
    </r>
    <r>
      <rPr>
        <sz val="11"/>
        <rFont val="돋움"/>
        <family val="3"/>
        <charset val="129"/>
      </rPr>
      <t>정당한</t>
    </r>
    <r>
      <rPr>
        <sz val="11"/>
        <rFont val="Trebuchet MS"/>
        <family val="2"/>
      </rPr>
      <t xml:space="preserve"> </t>
    </r>
    <r>
      <rPr>
        <sz val="11"/>
        <rFont val="돋움"/>
        <family val="3"/>
        <charset val="129"/>
      </rPr>
      <t>사유</t>
    </r>
    <r>
      <rPr>
        <sz val="11"/>
        <rFont val="Trebuchet MS"/>
        <family val="2"/>
      </rPr>
      <t xml:space="preserve"> </t>
    </r>
    <r>
      <rPr>
        <sz val="11"/>
        <rFont val="돋움"/>
        <family val="3"/>
        <charset val="129"/>
      </rPr>
      <t>및</t>
    </r>
    <r>
      <rPr>
        <sz val="11"/>
        <rFont val="Trebuchet MS"/>
        <family val="2"/>
      </rPr>
      <t xml:space="preserve"> </t>
    </r>
    <r>
      <rPr>
        <sz val="11"/>
        <rFont val="돋움"/>
        <family val="3"/>
        <charset val="129"/>
      </rPr>
      <t>구매</t>
    </r>
    <r>
      <rPr>
        <sz val="11"/>
        <rFont val="Trebuchet MS"/>
        <family val="2"/>
      </rPr>
      <t xml:space="preserve"> </t>
    </r>
    <r>
      <rPr>
        <sz val="11"/>
        <rFont val="돋움"/>
        <family val="3"/>
        <charset val="129"/>
      </rPr>
      <t>가격</t>
    </r>
    <r>
      <rPr>
        <sz val="11"/>
        <rFont val="Trebuchet MS"/>
        <family val="2"/>
      </rPr>
      <t xml:space="preserve"> </t>
    </r>
    <r>
      <rPr>
        <sz val="11"/>
        <rFont val="돋움"/>
        <family val="3"/>
        <charset val="129"/>
      </rPr>
      <t>타당성에</t>
    </r>
    <r>
      <rPr>
        <sz val="11"/>
        <rFont val="Trebuchet MS"/>
        <family val="2"/>
      </rPr>
      <t xml:space="preserve"> </t>
    </r>
    <r>
      <rPr>
        <sz val="11"/>
        <rFont val="돋움"/>
        <family val="3"/>
        <charset val="129"/>
      </rPr>
      <t>대한</t>
    </r>
    <r>
      <rPr>
        <sz val="11"/>
        <rFont val="Trebuchet MS"/>
        <family val="2"/>
      </rPr>
      <t xml:space="preserve"> </t>
    </r>
    <r>
      <rPr>
        <sz val="11"/>
        <rFont val="돋움"/>
        <family val="3"/>
        <charset val="129"/>
      </rPr>
      <t>검증</t>
    </r>
    <r>
      <rPr>
        <sz val="11"/>
        <rFont val="Trebuchet MS"/>
        <family val="2"/>
      </rPr>
      <t xml:space="preserve"> </t>
    </r>
    <r>
      <rPr>
        <sz val="11"/>
        <rFont val="돋움"/>
        <family val="3"/>
        <charset val="129"/>
      </rPr>
      <t>근거를</t>
    </r>
    <r>
      <rPr>
        <sz val="11"/>
        <rFont val="Trebuchet MS"/>
        <family val="2"/>
      </rPr>
      <t xml:space="preserve"> </t>
    </r>
    <r>
      <rPr>
        <sz val="11"/>
        <rFont val="돋움"/>
        <family val="3"/>
        <charset val="129"/>
      </rPr>
      <t>서면으로</t>
    </r>
    <r>
      <rPr>
        <sz val="11"/>
        <rFont val="Trebuchet MS"/>
        <family val="2"/>
      </rPr>
      <t xml:space="preserve"> </t>
    </r>
    <r>
      <rPr>
        <sz val="11"/>
        <rFont val="돋움"/>
        <family val="3"/>
        <charset val="129"/>
      </rPr>
      <t>작성하여</t>
    </r>
    <r>
      <rPr>
        <sz val="11"/>
        <rFont val="Trebuchet MS"/>
        <family val="2"/>
      </rPr>
      <t xml:space="preserve"> </t>
    </r>
    <r>
      <rPr>
        <sz val="11"/>
        <rFont val="돋움"/>
        <family val="3"/>
        <charset val="129"/>
      </rPr>
      <t>승인을</t>
    </r>
    <r>
      <rPr>
        <sz val="11"/>
        <rFont val="Trebuchet MS"/>
        <family val="2"/>
      </rPr>
      <t xml:space="preserve"> </t>
    </r>
    <r>
      <rPr>
        <sz val="11"/>
        <rFont val="돋움"/>
        <family val="3"/>
        <charset val="129"/>
      </rPr>
      <t>득하였는</t>
    </r>
    <r>
      <rPr>
        <sz val="11"/>
        <rFont val="Trebuchet MS"/>
        <family val="2"/>
      </rPr>
      <t xml:space="preserve"> </t>
    </r>
    <r>
      <rPr>
        <sz val="11"/>
        <rFont val="돋움"/>
        <family val="3"/>
        <charset val="129"/>
      </rPr>
      <t>가</t>
    </r>
    <r>
      <rPr>
        <sz val="11"/>
        <rFont val="Trebuchet MS"/>
        <family val="2"/>
      </rPr>
      <t>?</t>
    </r>
    <phoneticPr fontId="13" type="noConversion"/>
  </si>
  <si>
    <r>
      <rPr>
        <sz val="11"/>
        <rFont val="돋움"/>
        <family val="3"/>
        <charset val="129"/>
      </rPr>
      <t>입찰</t>
    </r>
    <r>
      <rPr>
        <sz val="11"/>
        <rFont val="Trebuchet MS"/>
        <family val="2"/>
      </rPr>
      <t xml:space="preserve"> </t>
    </r>
    <r>
      <rPr>
        <sz val="11"/>
        <rFont val="돋움"/>
        <family val="3"/>
        <charset val="129"/>
      </rPr>
      <t>결과</t>
    </r>
    <r>
      <rPr>
        <sz val="11"/>
        <rFont val="Trebuchet MS"/>
        <family val="2"/>
      </rPr>
      <t xml:space="preserve"> </t>
    </r>
    <r>
      <rPr>
        <sz val="11"/>
        <rFont val="돋움"/>
        <family val="3"/>
        <charset val="129"/>
      </rPr>
      <t>관련</t>
    </r>
    <r>
      <rPr>
        <sz val="11"/>
        <rFont val="Trebuchet MS"/>
        <family val="2"/>
      </rPr>
      <t xml:space="preserve"> </t>
    </r>
    <r>
      <rPr>
        <sz val="11"/>
        <rFont val="돋움"/>
        <family val="3"/>
        <charset val="129"/>
      </rPr>
      <t>문서는</t>
    </r>
    <r>
      <rPr>
        <sz val="11"/>
        <rFont val="Trebuchet MS"/>
        <family val="2"/>
      </rPr>
      <t xml:space="preserve"> </t>
    </r>
    <r>
      <rPr>
        <sz val="11"/>
        <rFont val="돋움"/>
        <family val="3"/>
        <charset val="129"/>
      </rPr>
      <t>전자</t>
    </r>
    <r>
      <rPr>
        <sz val="11"/>
        <rFont val="Trebuchet MS"/>
        <family val="2"/>
      </rPr>
      <t xml:space="preserve"> </t>
    </r>
    <r>
      <rPr>
        <sz val="11"/>
        <rFont val="돋움"/>
        <family val="3"/>
        <charset val="129"/>
      </rPr>
      <t>문서</t>
    </r>
    <r>
      <rPr>
        <sz val="11"/>
        <rFont val="Trebuchet MS"/>
        <family val="2"/>
      </rPr>
      <t xml:space="preserve"> </t>
    </r>
    <r>
      <rPr>
        <sz val="11"/>
        <rFont val="돋움"/>
        <family val="3"/>
        <charset val="129"/>
      </rPr>
      <t>또는</t>
    </r>
    <r>
      <rPr>
        <sz val="11"/>
        <rFont val="Trebuchet MS"/>
        <family val="2"/>
      </rPr>
      <t xml:space="preserve"> </t>
    </r>
    <r>
      <rPr>
        <sz val="11"/>
        <rFont val="돋움"/>
        <family val="3"/>
        <charset val="129"/>
      </rPr>
      <t>기타</t>
    </r>
    <r>
      <rPr>
        <sz val="11"/>
        <rFont val="Trebuchet MS"/>
        <family val="2"/>
      </rPr>
      <t xml:space="preserve"> </t>
    </r>
    <r>
      <rPr>
        <sz val="11"/>
        <rFont val="돋움"/>
        <family val="3"/>
        <charset val="129"/>
      </rPr>
      <t>문서의</t>
    </r>
    <r>
      <rPr>
        <sz val="11"/>
        <rFont val="Trebuchet MS"/>
        <family val="2"/>
      </rPr>
      <t xml:space="preserve"> </t>
    </r>
    <r>
      <rPr>
        <sz val="11"/>
        <rFont val="돋움"/>
        <family val="3"/>
        <charset val="129"/>
      </rPr>
      <t>형태로</t>
    </r>
    <r>
      <rPr>
        <sz val="11"/>
        <rFont val="Trebuchet MS"/>
        <family val="2"/>
      </rPr>
      <t xml:space="preserve"> </t>
    </r>
    <r>
      <rPr>
        <sz val="11"/>
        <rFont val="돋움"/>
        <family val="3"/>
        <charset val="129"/>
      </rPr>
      <t>관리되고</t>
    </r>
    <r>
      <rPr>
        <sz val="11"/>
        <rFont val="Trebuchet MS"/>
        <family val="2"/>
      </rPr>
      <t xml:space="preserve"> </t>
    </r>
    <r>
      <rPr>
        <sz val="11"/>
        <rFont val="돋움"/>
        <family val="3"/>
        <charset val="129"/>
      </rPr>
      <t>있는가</t>
    </r>
    <r>
      <rPr>
        <sz val="11"/>
        <rFont val="Trebuchet MS"/>
        <family val="2"/>
      </rPr>
      <t>?</t>
    </r>
    <phoneticPr fontId="13" type="noConversion"/>
  </si>
  <si>
    <r>
      <rPr>
        <b/>
        <u/>
        <sz val="10"/>
        <rFont val="돋움"/>
        <family val="3"/>
        <charset val="129"/>
      </rPr>
      <t>입찰</t>
    </r>
    <r>
      <rPr>
        <b/>
        <u/>
        <sz val="10"/>
        <rFont val="Trebuchet MS"/>
        <family val="2"/>
      </rPr>
      <t xml:space="preserve"> </t>
    </r>
    <r>
      <rPr>
        <b/>
        <u/>
        <sz val="10"/>
        <rFont val="돋움"/>
        <family val="3"/>
        <charset val="129"/>
      </rPr>
      <t>결과</t>
    </r>
    <r>
      <rPr>
        <b/>
        <u/>
        <sz val="10"/>
        <rFont val="Trebuchet MS"/>
        <family val="2"/>
      </rPr>
      <t xml:space="preserve"> </t>
    </r>
    <r>
      <rPr>
        <b/>
        <u/>
        <sz val="10"/>
        <rFont val="돋움"/>
        <family val="3"/>
        <charset val="129"/>
      </rPr>
      <t>관련</t>
    </r>
    <r>
      <rPr>
        <b/>
        <u/>
        <sz val="10"/>
        <rFont val="Trebuchet MS"/>
        <family val="2"/>
      </rPr>
      <t xml:space="preserve"> </t>
    </r>
    <r>
      <rPr>
        <b/>
        <u/>
        <sz val="10"/>
        <rFont val="돋움"/>
        <family val="3"/>
        <charset val="129"/>
      </rPr>
      <t xml:space="preserve">문서
</t>
    </r>
    <r>
      <rPr>
        <sz val="10"/>
        <rFont val="Trebuchet MS"/>
        <family val="2"/>
      </rPr>
      <t xml:space="preserve">1. </t>
    </r>
    <r>
      <rPr>
        <sz val="10"/>
        <rFont val="돋움"/>
        <family val="3"/>
        <charset val="129"/>
      </rPr>
      <t xml:space="preserve">입찰공고문
</t>
    </r>
    <r>
      <rPr>
        <sz val="10"/>
        <rFont val="Trebuchet MS"/>
        <family val="2"/>
      </rPr>
      <t xml:space="preserve">2. </t>
    </r>
    <r>
      <rPr>
        <sz val="10"/>
        <rFont val="돋움"/>
        <family val="3"/>
        <charset val="129"/>
      </rPr>
      <t>입찰</t>
    </r>
    <r>
      <rPr>
        <sz val="10"/>
        <rFont val="Trebuchet MS"/>
        <family val="2"/>
      </rPr>
      <t xml:space="preserve"> </t>
    </r>
    <r>
      <rPr>
        <sz val="10"/>
        <rFont val="돋움"/>
        <family val="3"/>
        <charset val="129"/>
      </rPr>
      <t>참여사</t>
    </r>
    <r>
      <rPr>
        <sz val="10"/>
        <rFont val="Trebuchet MS"/>
        <family val="2"/>
      </rPr>
      <t xml:space="preserve"> </t>
    </r>
    <r>
      <rPr>
        <sz val="10"/>
        <rFont val="돋움"/>
        <family val="3"/>
        <charset val="129"/>
      </rPr>
      <t>제출</t>
    </r>
    <r>
      <rPr>
        <sz val="10"/>
        <rFont val="Trebuchet MS"/>
        <family val="2"/>
      </rPr>
      <t xml:space="preserve"> </t>
    </r>
    <r>
      <rPr>
        <sz val="10"/>
        <rFont val="돋움"/>
        <family val="3"/>
        <charset val="129"/>
      </rPr>
      <t>제안서</t>
    </r>
    <r>
      <rPr>
        <sz val="10"/>
        <rFont val="Trebuchet MS"/>
        <family val="2"/>
      </rPr>
      <t xml:space="preserve"> </t>
    </r>
    <r>
      <rPr>
        <sz val="10"/>
        <rFont val="돋움"/>
        <family val="3"/>
        <charset val="129"/>
      </rPr>
      <t>및</t>
    </r>
    <r>
      <rPr>
        <sz val="10"/>
        <rFont val="Trebuchet MS"/>
        <family val="2"/>
      </rPr>
      <t xml:space="preserve"> </t>
    </r>
    <r>
      <rPr>
        <sz val="10"/>
        <rFont val="돋움"/>
        <family val="3"/>
        <charset val="129"/>
      </rPr>
      <t>기타</t>
    </r>
    <r>
      <rPr>
        <sz val="10"/>
        <rFont val="Trebuchet MS"/>
        <family val="2"/>
      </rPr>
      <t xml:space="preserve"> </t>
    </r>
    <r>
      <rPr>
        <sz val="10"/>
        <rFont val="돋움"/>
        <family val="3"/>
        <charset val="129"/>
      </rPr>
      <t xml:space="preserve">자료
</t>
    </r>
    <r>
      <rPr>
        <sz val="10"/>
        <rFont val="Trebuchet MS"/>
        <family val="2"/>
      </rPr>
      <t xml:space="preserve">3. </t>
    </r>
    <r>
      <rPr>
        <sz val="10"/>
        <rFont val="돋움"/>
        <family val="3"/>
        <charset val="129"/>
      </rPr>
      <t>입찰위원</t>
    </r>
    <r>
      <rPr>
        <sz val="10"/>
        <rFont val="Trebuchet MS"/>
        <family val="2"/>
      </rPr>
      <t xml:space="preserve"> </t>
    </r>
    <r>
      <rPr>
        <sz val="10"/>
        <rFont val="돋움"/>
        <family val="3"/>
        <charset val="129"/>
      </rPr>
      <t>승인을</t>
    </r>
    <r>
      <rPr>
        <sz val="10"/>
        <rFont val="Trebuchet MS"/>
        <family val="2"/>
      </rPr>
      <t xml:space="preserve"> </t>
    </r>
    <r>
      <rPr>
        <sz val="10"/>
        <rFont val="돋움"/>
        <family val="3"/>
        <charset val="129"/>
      </rPr>
      <t>득한</t>
    </r>
    <r>
      <rPr>
        <sz val="10"/>
        <rFont val="Trebuchet MS"/>
        <family val="2"/>
      </rPr>
      <t xml:space="preserve"> </t>
    </r>
    <r>
      <rPr>
        <sz val="10"/>
        <rFont val="돋움"/>
        <family val="3"/>
        <charset val="129"/>
      </rPr>
      <t>입찰</t>
    </r>
    <r>
      <rPr>
        <sz val="10"/>
        <rFont val="Trebuchet MS"/>
        <family val="2"/>
      </rPr>
      <t xml:space="preserve"> </t>
    </r>
    <r>
      <rPr>
        <sz val="10"/>
        <rFont val="돋움"/>
        <family val="3"/>
        <charset val="129"/>
      </rPr>
      <t>참여사</t>
    </r>
    <r>
      <rPr>
        <sz val="10"/>
        <rFont val="Trebuchet MS"/>
        <family val="2"/>
      </rPr>
      <t xml:space="preserve"> </t>
    </r>
    <r>
      <rPr>
        <sz val="10"/>
        <rFont val="돋움"/>
        <family val="3"/>
        <charset val="129"/>
      </rPr>
      <t xml:space="preserve">제안서
</t>
    </r>
    <r>
      <rPr>
        <sz val="10"/>
        <rFont val="Trebuchet MS"/>
        <family val="2"/>
      </rPr>
      <t xml:space="preserve">4. </t>
    </r>
    <r>
      <rPr>
        <sz val="10"/>
        <rFont val="돋움"/>
        <family val="3"/>
        <charset val="129"/>
      </rPr>
      <t>승인을</t>
    </r>
    <r>
      <rPr>
        <sz val="10"/>
        <rFont val="Trebuchet MS"/>
        <family val="2"/>
      </rPr>
      <t xml:space="preserve"> </t>
    </r>
    <r>
      <rPr>
        <sz val="10"/>
        <rFont val="돋움"/>
        <family val="3"/>
        <charset val="129"/>
      </rPr>
      <t>득한</t>
    </r>
    <r>
      <rPr>
        <sz val="10"/>
        <rFont val="Trebuchet MS"/>
        <family val="2"/>
      </rPr>
      <t xml:space="preserve"> </t>
    </r>
    <r>
      <rPr>
        <sz val="10"/>
        <rFont val="돋움"/>
        <family val="3"/>
        <charset val="129"/>
      </rPr>
      <t>입찰</t>
    </r>
    <r>
      <rPr>
        <sz val="10"/>
        <rFont val="Trebuchet MS"/>
        <family val="2"/>
      </rPr>
      <t xml:space="preserve"> </t>
    </r>
    <r>
      <rPr>
        <sz val="10"/>
        <rFont val="돋움"/>
        <family val="3"/>
        <charset val="129"/>
      </rPr>
      <t>평가서</t>
    </r>
    <r>
      <rPr>
        <sz val="10"/>
        <rFont val="Trebuchet MS"/>
        <family val="2"/>
      </rPr>
      <t xml:space="preserve">(TENDER EVALUATION)
5. </t>
    </r>
    <r>
      <rPr>
        <sz val="10"/>
        <rFont val="돋움"/>
        <family val="3"/>
        <charset val="129"/>
      </rPr>
      <t>입찰</t>
    </r>
    <r>
      <rPr>
        <sz val="10"/>
        <rFont val="Trebuchet MS"/>
        <family val="2"/>
      </rPr>
      <t xml:space="preserve"> </t>
    </r>
    <r>
      <rPr>
        <sz val="10"/>
        <rFont val="돋움"/>
        <family val="3"/>
        <charset val="129"/>
      </rPr>
      <t>결과에</t>
    </r>
    <r>
      <rPr>
        <sz val="10"/>
        <rFont val="Trebuchet MS"/>
        <family val="2"/>
      </rPr>
      <t xml:space="preserve"> </t>
    </r>
    <r>
      <rPr>
        <sz val="10"/>
        <rFont val="돋움"/>
        <family val="3"/>
        <charset val="129"/>
      </rPr>
      <t>대한</t>
    </r>
    <r>
      <rPr>
        <sz val="10"/>
        <rFont val="Trebuchet MS"/>
        <family val="2"/>
      </rPr>
      <t xml:space="preserve"> </t>
    </r>
    <r>
      <rPr>
        <sz val="10"/>
        <rFont val="돋움"/>
        <family val="3"/>
        <charset val="129"/>
      </rPr>
      <t>공급사</t>
    </r>
    <r>
      <rPr>
        <sz val="10"/>
        <rFont val="Trebuchet MS"/>
        <family val="2"/>
      </rPr>
      <t xml:space="preserve"> </t>
    </r>
    <r>
      <rPr>
        <sz val="10"/>
        <rFont val="돋움"/>
        <family val="3"/>
        <charset val="129"/>
      </rPr>
      <t>회신</t>
    </r>
    <r>
      <rPr>
        <sz val="10"/>
        <rFont val="Trebuchet MS"/>
        <family val="2"/>
      </rPr>
      <t xml:space="preserve"> </t>
    </r>
    <r>
      <rPr>
        <sz val="10"/>
        <rFont val="돋움"/>
        <family val="3"/>
        <charset val="129"/>
      </rPr>
      <t>사항</t>
    </r>
    <phoneticPr fontId="13" type="noConversion"/>
  </si>
  <si>
    <r>
      <rPr>
        <sz val="11"/>
        <rFont val="돋움"/>
        <family val="3"/>
        <charset val="129"/>
      </rPr>
      <t>공급사</t>
    </r>
    <r>
      <rPr>
        <sz val="11"/>
        <rFont val="Trebuchet MS"/>
        <family val="2"/>
      </rPr>
      <t xml:space="preserve"> </t>
    </r>
    <r>
      <rPr>
        <sz val="11"/>
        <rFont val="돋움"/>
        <family val="3"/>
        <charset val="129"/>
      </rPr>
      <t>선정은</t>
    </r>
    <r>
      <rPr>
        <sz val="11"/>
        <rFont val="Trebuchet MS"/>
        <family val="2"/>
      </rPr>
      <t xml:space="preserve"> </t>
    </r>
    <r>
      <rPr>
        <sz val="11"/>
        <rFont val="돋움"/>
        <family val="3"/>
        <charset val="129"/>
      </rPr>
      <t>경쟁</t>
    </r>
    <r>
      <rPr>
        <sz val="11"/>
        <rFont val="Trebuchet MS"/>
        <family val="2"/>
      </rPr>
      <t xml:space="preserve"> </t>
    </r>
    <r>
      <rPr>
        <sz val="11"/>
        <rFont val="돋움"/>
        <family val="3"/>
        <charset val="129"/>
      </rPr>
      <t>입찰을</t>
    </r>
    <r>
      <rPr>
        <sz val="11"/>
        <rFont val="Trebuchet MS"/>
        <family val="2"/>
      </rPr>
      <t xml:space="preserve"> </t>
    </r>
    <r>
      <rPr>
        <sz val="11"/>
        <rFont val="돋움"/>
        <family val="3"/>
        <charset val="129"/>
      </rPr>
      <t>기본</t>
    </r>
    <r>
      <rPr>
        <sz val="11"/>
        <rFont val="Trebuchet MS"/>
        <family val="2"/>
      </rPr>
      <t xml:space="preserve"> </t>
    </r>
    <r>
      <rPr>
        <sz val="11"/>
        <rFont val="돋움"/>
        <family val="3"/>
        <charset val="129"/>
      </rPr>
      <t>원칙으로</t>
    </r>
    <r>
      <rPr>
        <sz val="11"/>
        <rFont val="Trebuchet MS"/>
        <family val="2"/>
      </rPr>
      <t xml:space="preserve"> </t>
    </r>
    <r>
      <rPr>
        <sz val="11"/>
        <rFont val="돋움"/>
        <family val="3"/>
        <charset val="129"/>
      </rPr>
      <t>하여</t>
    </r>
    <r>
      <rPr>
        <sz val="11"/>
        <rFont val="Trebuchet MS"/>
        <family val="2"/>
      </rPr>
      <t xml:space="preserve"> </t>
    </r>
    <r>
      <rPr>
        <sz val="11"/>
        <rFont val="돋움"/>
        <family val="3"/>
        <charset val="129"/>
      </rPr>
      <t>수행되었는가</t>
    </r>
    <r>
      <rPr>
        <sz val="11"/>
        <rFont val="Trebuchet MS"/>
        <family val="2"/>
      </rPr>
      <t>?</t>
    </r>
    <phoneticPr fontId="13" type="noConversion"/>
  </si>
  <si>
    <r>
      <rPr>
        <sz val="11"/>
        <rFont val="돋움"/>
        <family val="3"/>
        <charset val="129"/>
      </rPr>
      <t>그렇지</t>
    </r>
    <r>
      <rPr>
        <sz val="11"/>
        <rFont val="Trebuchet MS"/>
        <family val="2"/>
      </rPr>
      <t xml:space="preserve"> </t>
    </r>
    <r>
      <rPr>
        <sz val="11"/>
        <rFont val="돋움"/>
        <family val="3"/>
        <charset val="129"/>
      </rPr>
      <t>않다면</t>
    </r>
    <r>
      <rPr>
        <sz val="11"/>
        <rFont val="Trebuchet MS"/>
        <family val="2"/>
      </rPr>
      <t>, (</t>
    </r>
    <r>
      <rPr>
        <sz val="11"/>
        <rFont val="돋움"/>
        <family val="3"/>
        <charset val="129"/>
      </rPr>
      <t>경쟁</t>
    </r>
    <r>
      <rPr>
        <sz val="11"/>
        <rFont val="Trebuchet MS"/>
        <family val="2"/>
      </rPr>
      <t xml:space="preserve"> </t>
    </r>
    <r>
      <rPr>
        <sz val="11"/>
        <rFont val="돋움"/>
        <family val="3"/>
        <charset val="129"/>
      </rPr>
      <t>입찰이</t>
    </r>
    <r>
      <rPr>
        <sz val="11"/>
        <rFont val="Trebuchet MS"/>
        <family val="2"/>
      </rPr>
      <t xml:space="preserve"> </t>
    </r>
    <r>
      <rPr>
        <sz val="11"/>
        <rFont val="돋움"/>
        <family val="3"/>
        <charset val="129"/>
      </rPr>
      <t>불가능한</t>
    </r>
    <r>
      <rPr>
        <sz val="11"/>
        <rFont val="Trebuchet MS"/>
        <family val="2"/>
      </rPr>
      <t xml:space="preserve"> </t>
    </r>
    <r>
      <rPr>
        <sz val="11"/>
        <rFont val="돋움"/>
        <family val="3"/>
        <charset val="129"/>
      </rPr>
      <t>경우</t>
    </r>
    <r>
      <rPr>
        <sz val="11"/>
        <rFont val="Trebuchet MS"/>
        <family val="2"/>
      </rPr>
      <t xml:space="preserve">) </t>
    </r>
    <r>
      <rPr>
        <sz val="11"/>
        <rFont val="돋움"/>
        <family val="3"/>
        <charset val="129"/>
      </rPr>
      <t>이에</t>
    </r>
    <r>
      <rPr>
        <sz val="11"/>
        <rFont val="Trebuchet MS"/>
        <family val="2"/>
      </rPr>
      <t xml:space="preserve"> </t>
    </r>
    <r>
      <rPr>
        <sz val="11"/>
        <rFont val="돋움"/>
        <family val="3"/>
        <charset val="129"/>
      </rPr>
      <t>대한</t>
    </r>
    <r>
      <rPr>
        <sz val="11"/>
        <rFont val="Trebuchet MS"/>
        <family val="2"/>
      </rPr>
      <t xml:space="preserve"> </t>
    </r>
    <r>
      <rPr>
        <sz val="11"/>
        <rFont val="돋움"/>
        <family val="3"/>
        <charset val="129"/>
      </rPr>
      <t>정당한</t>
    </r>
    <r>
      <rPr>
        <sz val="11"/>
        <rFont val="Trebuchet MS"/>
        <family val="2"/>
      </rPr>
      <t xml:space="preserve"> </t>
    </r>
    <r>
      <rPr>
        <sz val="11"/>
        <rFont val="돋움"/>
        <family val="3"/>
        <charset val="129"/>
      </rPr>
      <t>사유를</t>
    </r>
    <r>
      <rPr>
        <sz val="11"/>
        <rFont val="Trebuchet MS"/>
        <family val="2"/>
      </rPr>
      <t xml:space="preserve"> </t>
    </r>
    <r>
      <rPr>
        <sz val="11"/>
        <rFont val="돋움"/>
        <family val="3"/>
        <charset val="129"/>
      </rPr>
      <t>제시하고</t>
    </r>
    <r>
      <rPr>
        <sz val="11"/>
        <rFont val="Trebuchet MS"/>
        <family val="2"/>
      </rPr>
      <t xml:space="preserve"> </t>
    </r>
    <r>
      <rPr>
        <sz val="11"/>
        <rFont val="돋움"/>
        <family val="3"/>
        <charset val="129"/>
      </rPr>
      <t>대표이사의</t>
    </r>
    <r>
      <rPr>
        <sz val="11"/>
        <rFont val="Trebuchet MS"/>
        <family val="2"/>
      </rPr>
      <t xml:space="preserve"> </t>
    </r>
    <r>
      <rPr>
        <sz val="11"/>
        <rFont val="돋움"/>
        <family val="3"/>
        <charset val="129"/>
      </rPr>
      <t>승인을</t>
    </r>
    <r>
      <rPr>
        <sz val="11"/>
        <rFont val="Trebuchet MS"/>
        <family val="2"/>
      </rPr>
      <t xml:space="preserve"> </t>
    </r>
    <r>
      <rPr>
        <sz val="11"/>
        <rFont val="돋움"/>
        <family val="3"/>
        <charset val="129"/>
      </rPr>
      <t>득하였는가</t>
    </r>
    <r>
      <rPr>
        <sz val="11"/>
        <rFont val="Trebuchet MS"/>
        <family val="2"/>
      </rPr>
      <t>?</t>
    </r>
    <phoneticPr fontId="13" type="noConversion"/>
  </si>
  <si>
    <r>
      <rPr>
        <sz val="11"/>
        <rFont val="돋움"/>
        <family val="3"/>
        <charset val="129"/>
      </rPr>
      <t>공급사</t>
    </r>
    <r>
      <rPr>
        <sz val="11"/>
        <rFont val="Trebuchet MS"/>
        <family val="2"/>
      </rPr>
      <t xml:space="preserve"> </t>
    </r>
    <r>
      <rPr>
        <sz val="11"/>
        <rFont val="돋움"/>
        <family val="3"/>
        <charset val="129"/>
      </rPr>
      <t>선정하기</t>
    </r>
    <r>
      <rPr>
        <sz val="11"/>
        <rFont val="Trebuchet MS"/>
        <family val="2"/>
      </rPr>
      <t xml:space="preserve"> </t>
    </r>
    <r>
      <rPr>
        <sz val="11"/>
        <rFont val="돋움"/>
        <family val="3"/>
        <charset val="129"/>
      </rPr>
      <t>위한</t>
    </r>
    <r>
      <rPr>
        <sz val="11"/>
        <rFont val="Trebuchet MS"/>
        <family val="2"/>
      </rPr>
      <t xml:space="preserve"> </t>
    </r>
    <r>
      <rPr>
        <sz val="11"/>
        <rFont val="돋움"/>
        <family val="3"/>
        <charset val="129"/>
      </rPr>
      <t>타당한</t>
    </r>
    <r>
      <rPr>
        <sz val="11"/>
        <rFont val="Trebuchet MS"/>
        <family val="2"/>
      </rPr>
      <t xml:space="preserve"> </t>
    </r>
    <r>
      <rPr>
        <sz val="11"/>
        <rFont val="돋움"/>
        <family val="3"/>
        <charset val="129"/>
      </rPr>
      <t>평가</t>
    </r>
    <r>
      <rPr>
        <sz val="11"/>
        <rFont val="Trebuchet MS"/>
        <family val="2"/>
      </rPr>
      <t xml:space="preserve"> </t>
    </r>
    <r>
      <rPr>
        <sz val="11"/>
        <rFont val="돋움"/>
        <family val="3"/>
        <charset val="129"/>
      </rPr>
      <t>항목과</t>
    </r>
    <r>
      <rPr>
        <sz val="11"/>
        <rFont val="Trebuchet MS"/>
        <family val="2"/>
      </rPr>
      <t xml:space="preserve"> </t>
    </r>
    <r>
      <rPr>
        <sz val="11"/>
        <rFont val="돋움"/>
        <family val="3"/>
        <charset val="129"/>
      </rPr>
      <t>기준이</t>
    </r>
    <r>
      <rPr>
        <sz val="11"/>
        <rFont val="Trebuchet MS"/>
        <family val="2"/>
      </rPr>
      <t xml:space="preserve"> </t>
    </r>
    <r>
      <rPr>
        <sz val="11"/>
        <rFont val="돋움"/>
        <family val="3"/>
        <charset val="129"/>
      </rPr>
      <t>적용되었는가</t>
    </r>
    <r>
      <rPr>
        <sz val="11"/>
        <rFont val="Trebuchet MS"/>
        <family val="2"/>
      </rPr>
      <t>?</t>
    </r>
    <phoneticPr fontId="13" type="noConversion"/>
  </si>
  <si>
    <r>
      <t>PSA Busan</t>
    </r>
    <r>
      <rPr>
        <sz val="11"/>
        <rFont val="돋움"/>
        <family val="3"/>
        <charset val="129"/>
      </rPr>
      <t>에</t>
    </r>
    <r>
      <rPr>
        <sz val="11"/>
        <rFont val="Trebuchet MS"/>
        <family val="2"/>
      </rPr>
      <t xml:space="preserve"> </t>
    </r>
    <r>
      <rPr>
        <sz val="11"/>
        <rFont val="돋움"/>
        <family val="3"/>
        <charset val="129"/>
      </rPr>
      <t>공급하는</t>
    </r>
    <r>
      <rPr>
        <sz val="11"/>
        <rFont val="Trebuchet MS"/>
        <family val="2"/>
      </rPr>
      <t xml:space="preserve"> </t>
    </r>
    <r>
      <rPr>
        <sz val="11"/>
        <rFont val="돋움"/>
        <family val="3"/>
        <charset val="129"/>
      </rPr>
      <t>인력에</t>
    </r>
    <r>
      <rPr>
        <sz val="11"/>
        <rFont val="Trebuchet MS"/>
        <family val="2"/>
      </rPr>
      <t xml:space="preserve"> </t>
    </r>
    <r>
      <rPr>
        <sz val="11"/>
        <rFont val="돋움"/>
        <family val="3"/>
        <charset val="129"/>
      </rPr>
      <t>대한</t>
    </r>
    <r>
      <rPr>
        <sz val="11"/>
        <rFont val="Trebuchet MS"/>
        <family val="2"/>
      </rPr>
      <t xml:space="preserve"> </t>
    </r>
    <r>
      <rPr>
        <sz val="11"/>
        <rFont val="돋움"/>
        <family val="3"/>
        <charset val="129"/>
      </rPr>
      <t>적격성을</t>
    </r>
    <r>
      <rPr>
        <sz val="11"/>
        <rFont val="Trebuchet MS"/>
        <family val="2"/>
      </rPr>
      <t xml:space="preserve"> </t>
    </r>
    <r>
      <rPr>
        <sz val="11"/>
        <rFont val="돋움"/>
        <family val="3"/>
        <charset val="129"/>
      </rPr>
      <t>검증하였는가</t>
    </r>
    <r>
      <rPr>
        <sz val="11"/>
        <rFont val="Trebuchet MS"/>
        <family val="2"/>
      </rPr>
      <t xml:space="preserve">?
(PSA Busan </t>
    </r>
    <r>
      <rPr>
        <sz val="11"/>
        <rFont val="돋움"/>
        <family val="3"/>
        <charset val="129"/>
      </rPr>
      <t>운영</t>
    </r>
    <r>
      <rPr>
        <sz val="11"/>
        <rFont val="Trebuchet MS"/>
        <family val="2"/>
      </rPr>
      <t xml:space="preserve"> </t>
    </r>
    <r>
      <rPr>
        <sz val="11"/>
        <rFont val="돋움"/>
        <family val="3"/>
        <charset val="129"/>
      </rPr>
      <t>관련</t>
    </r>
    <r>
      <rPr>
        <sz val="11"/>
        <rFont val="Trebuchet MS"/>
        <family val="2"/>
      </rPr>
      <t xml:space="preserve"> </t>
    </r>
    <r>
      <rPr>
        <sz val="11"/>
        <rFont val="돋움"/>
        <family val="3"/>
        <charset val="129"/>
      </rPr>
      <t>업무를</t>
    </r>
    <r>
      <rPr>
        <sz val="11"/>
        <rFont val="Trebuchet MS"/>
        <family val="2"/>
      </rPr>
      <t xml:space="preserve"> </t>
    </r>
    <r>
      <rPr>
        <sz val="11"/>
        <rFont val="돋움"/>
        <family val="3"/>
        <charset val="129"/>
      </rPr>
      <t>수행하는</t>
    </r>
    <r>
      <rPr>
        <sz val="11"/>
        <rFont val="Trebuchet MS"/>
        <family val="2"/>
      </rPr>
      <t xml:space="preserve"> </t>
    </r>
    <r>
      <rPr>
        <sz val="11"/>
        <rFont val="돋움"/>
        <family val="3"/>
        <charset val="129"/>
      </rPr>
      <t>외주업체</t>
    </r>
    <r>
      <rPr>
        <sz val="11"/>
        <rFont val="Trebuchet MS"/>
        <family val="2"/>
      </rPr>
      <t xml:space="preserve"> </t>
    </r>
    <r>
      <rPr>
        <sz val="11"/>
        <rFont val="돋움"/>
        <family val="3"/>
        <charset val="129"/>
      </rPr>
      <t>限</t>
    </r>
    <r>
      <rPr>
        <sz val="11"/>
        <rFont val="Trebuchet MS"/>
        <family val="2"/>
      </rPr>
      <t>)</t>
    </r>
    <phoneticPr fontId="13" type="noConversion"/>
  </si>
  <si>
    <r>
      <rPr>
        <b/>
        <u/>
        <sz val="10"/>
        <rFont val="돋움"/>
        <family val="3"/>
        <charset val="129"/>
      </rPr>
      <t>평가</t>
    </r>
    <r>
      <rPr>
        <b/>
        <u/>
        <sz val="10"/>
        <rFont val="Trebuchet MS"/>
        <family val="2"/>
      </rPr>
      <t xml:space="preserve"> </t>
    </r>
    <r>
      <rPr>
        <b/>
        <u/>
        <sz val="10"/>
        <rFont val="돋움"/>
        <family val="3"/>
        <charset val="129"/>
      </rPr>
      <t>항목</t>
    </r>
    <r>
      <rPr>
        <sz val="10"/>
        <rFont val="Trebuchet MS"/>
        <family val="2"/>
      </rPr>
      <t xml:space="preserve"> 
1. </t>
    </r>
    <r>
      <rPr>
        <sz val="10"/>
        <rFont val="돋움"/>
        <family val="3"/>
        <charset val="129"/>
      </rPr>
      <t>반장이상</t>
    </r>
    <r>
      <rPr>
        <sz val="10"/>
        <rFont val="Trebuchet MS"/>
        <family val="2"/>
      </rPr>
      <t xml:space="preserve"> : </t>
    </r>
    <r>
      <rPr>
        <sz val="10"/>
        <rFont val="돋움"/>
        <family val="3"/>
        <charset val="129"/>
      </rPr>
      <t>적격성</t>
    </r>
    <r>
      <rPr>
        <sz val="10"/>
        <rFont val="Trebuchet MS"/>
        <family val="2"/>
      </rPr>
      <t xml:space="preserve"> </t>
    </r>
    <r>
      <rPr>
        <sz val="10"/>
        <rFont val="돋움"/>
        <family val="3"/>
        <charset val="129"/>
      </rPr>
      <t>검토서를</t>
    </r>
    <r>
      <rPr>
        <sz val="10"/>
        <rFont val="Trebuchet MS"/>
        <family val="2"/>
      </rPr>
      <t xml:space="preserve"> </t>
    </r>
    <r>
      <rPr>
        <sz val="10"/>
        <rFont val="돋움"/>
        <family val="3"/>
        <charset val="129"/>
      </rPr>
      <t>통한</t>
    </r>
    <r>
      <rPr>
        <sz val="10"/>
        <rFont val="Trebuchet MS"/>
        <family val="2"/>
      </rPr>
      <t xml:space="preserve"> </t>
    </r>
    <r>
      <rPr>
        <sz val="10"/>
        <rFont val="돋움"/>
        <family val="3"/>
        <charset val="129"/>
      </rPr>
      <t>적격성</t>
    </r>
    <r>
      <rPr>
        <sz val="10"/>
        <rFont val="Trebuchet MS"/>
        <family val="2"/>
      </rPr>
      <t>(</t>
    </r>
    <r>
      <rPr>
        <sz val="10"/>
        <rFont val="돋움"/>
        <family val="3"/>
        <charset val="129"/>
      </rPr>
      <t>능력</t>
    </r>
    <r>
      <rPr>
        <sz val="10"/>
        <rFont val="Trebuchet MS"/>
        <family val="2"/>
      </rPr>
      <t xml:space="preserve">, </t>
    </r>
    <r>
      <rPr>
        <sz val="10"/>
        <rFont val="돋움"/>
        <family val="3"/>
        <charset val="129"/>
      </rPr>
      <t>스킬</t>
    </r>
    <r>
      <rPr>
        <sz val="10"/>
        <rFont val="Trebuchet MS"/>
        <family val="2"/>
      </rPr>
      <t xml:space="preserve">, </t>
    </r>
    <r>
      <rPr>
        <sz val="10"/>
        <rFont val="돋움"/>
        <family val="3"/>
        <charset val="129"/>
      </rPr>
      <t>태도</t>
    </r>
    <r>
      <rPr>
        <sz val="10"/>
        <rFont val="Trebuchet MS"/>
        <family val="2"/>
      </rPr>
      <t xml:space="preserve">) </t>
    </r>
    <r>
      <rPr>
        <sz val="10"/>
        <rFont val="돋움"/>
        <family val="3"/>
        <charset val="129"/>
      </rPr>
      <t>검증</t>
    </r>
    <r>
      <rPr>
        <sz val="10"/>
        <rFont val="Trebuchet MS"/>
        <family val="2"/>
      </rPr>
      <t xml:space="preserve"> 
2. </t>
    </r>
    <r>
      <rPr>
        <sz val="10"/>
        <rFont val="돋움"/>
        <family val="3"/>
        <charset val="129"/>
      </rPr>
      <t>그외직원</t>
    </r>
    <r>
      <rPr>
        <sz val="10"/>
        <rFont val="Trebuchet MS"/>
        <family val="2"/>
      </rPr>
      <t xml:space="preserve"> : </t>
    </r>
    <r>
      <rPr>
        <sz val="10"/>
        <rFont val="돋움"/>
        <family val="3"/>
        <charset val="129"/>
      </rPr>
      <t>공급사</t>
    </r>
    <r>
      <rPr>
        <sz val="10"/>
        <rFont val="Trebuchet MS"/>
        <family val="2"/>
      </rPr>
      <t xml:space="preserve"> </t>
    </r>
    <r>
      <rPr>
        <sz val="10"/>
        <rFont val="돋움"/>
        <family val="3"/>
        <charset val="129"/>
      </rPr>
      <t>자체</t>
    </r>
    <r>
      <rPr>
        <sz val="10"/>
        <rFont val="Trebuchet MS"/>
        <family val="2"/>
      </rPr>
      <t xml:space="preserve"> </t>
    </r>
    <r>
      <rPr>
        <sz val="10"/>
        <rFont val="돋움"/>
        <family val="3"/>
        <charset val="129"/>
      </rPr>
      <t>근무평가로</t>
    </r>
    <r>
      <rPr>
        <sz val="10"/>
        <rFont val="Trebuchet MS"/>
        <family val="2"/>
      </rPr>
      <t xml:space="preserve"> </t>
    </r>
    <r>
      <rPr>
        <sz val="10"/>
        <rFont val="돋움"/>
        <family val="3"/>
        <charset val="129"/>
      </rPr>
      <t xml:space="preserve">대체
</t>
    </r>
    <r>
      <rPr>
        <b/>
        <u/>
        <sz val="10"/>
        <rFont val="돋움"/>
        <family val="3"/>
        <charset val="129"/>
      </rPr>
      <t>평가항목</t>
    </r>
    <r>
      <rPr>
        <b/>
        <u/>
        <sz val="10"/>
        <rFont val="Trebuchet MS"/>
        <family val="2"/>
      </rPr>
      <t xml:space="preserve"> </t>
    </r>
    <r>
      <rPr>
        <b/>
        <u/>
        <sz val="10"/>
        <rFont val="돋움"/>
        <family val="3"/>
        <charset val="129"/>
      </rPr>
      <t>가중치</t>
    </r>
    <r>
      <rPr>
        <sz val="10"/>
        <rFont val="Trebuchet MS"/>
        <family val="2"/>
      </rPr>
      <t xml:space="preserve">
</t>
    </r>
    <r>
      <rPr>
        <sz val="10"/>
        <rFont val="돋움"/>
        <family val="3"/>
        <charset val="129"/>
      </rPr>
      <t>적격성</t>
    </r>
    <r>
      <rPr>
        <sz val="10"/>
        <rFont val="Trebuchet MS"/>
        <family val="2"/>
      </rPr>
      <t xml:space="preserve"> </t>
    </r>
    <r>
      <rPr>
        <sz val="10"/>
        <rFont val="돋움"/>
        <family val="3"/>
        <charset val="129"/>
      </rPr>
      <t>검증을</t>
    </r>
    <r>
      <rPr>
        <sz val="10"/>
        <rFont val="Trebuchet MS"/>
        <family val="2"/>
      </rPr>
      <t xml:space="preserve"> </t>
    </r>
    <r>
      <rPr>
        <sz val="10"/>
        <rFont val="돋움"/>
        <family val="3"/>
        <charset val="129"/>
      </rPr>
      <t>위한</t>
    </r>
    <r>
      <rPr>
        <sz val="10"/>
        <rFont val="Trebuchet MS"/>
        <family val="2"/>
      </rPr>
      <t xml:space="preserve"> </t>
    </r>
    <r>
      <rPr>
        <sz val="10"/>
        <rFont val="돋움"/>
        <family val="3"/>
        <charset val="129"/>
      </rPr>
      <t>평가</t>
    </r>
    <r>
      <rPr>
        <sz val="10"/>
        <rFont val="Trebuchet MS"/>
        <family val="2"/>
      </rPr>
      <t xml:space="preserve"> </t>
    </r>
    <r>
      <rPr>
        <sz val="10"/>
        <rFont val="돋움"/>
        <family val="3"/>
        <charset val="129"/>
      </rPr>
      <t>항목</t>
    </r>
    <r>
      <rPr>
        <sz val="10"/>
        <rFont val="Trebuchet MS"/>
        <family val="2"/>
      </rPr>
      <t xml:space="preserve"> </t>
    </r>
    <r>
      <rPr>
        <sz val="10"/>
        <rFont val="돋움"/>
        <family val="3"/>
        <charset val="129"/>
      </rPr>
      <t>및</t>
    </r>
    <r>
      <rPr>
        <sz val="10"/>
        <rFont val="Trebuchet MS"/>
        <family val="2"/>
      </rPr>
      <t xml:space="preserve"> </t>
    </r>
    <r>
      <rPr>
        <sz val="10"/>
        <rFont val="돋움"/>
        <family val="3"/>
        <charset val="129"/>
      </rPr>
      <t>기준</t>
    </r>
    <r>
      <rPr>
        <sz val="10"/>
        <rFont val="Trebuchet MS"/>
        <family val="2"/>
      </rPr>
      <t xml:space="preserve">, </t>
    </r>
    <r>
      <rPr>
        <sz val="10"/>
        <rFont val="돋움"/>
        <family val="3"/>
        <charset val="129"/>
      </rPr>
      <t>평가</t>
    </r>
    <r>
      <rPr>
        <sz val="10"/>
        <rFont val="Trebuchet MS"/>
        <family val="2"/>
      </rPr>
      <t xml:space="preserve"> </t>
    </r>
    <r>
      <rPr>
        <sz val="10"/>
        <rFont val="돋움"/>
        <family val="3"/>
        <charset val="129"/>
      </rPr>
      <t>항목별</t>
    </r>
    <r>
      <rPr>
        <sz val="10"/>
        <rFont val="Trebuchet MS"/>
        <family val="2"/>
      </rPr>
      <t xml:space="preserve"> </t>
    </r>
    <r>
      <rPr>
        <sz val="10"/>
        <rFont val="돋움"/>
        <family val="3"/>
        <charset val="129"/>
      </rPr>
      <t>가중치는</t>
    </r>
    <r>
      <rPr>
        <sz val="10"/>
        <rFont val="Trebuchet MS"/>
        <family val="2"/>
      </rPr>
      <t xml:space="preserve"> </t>
    </r>
    <r>
      <rPr>
        <sz val="10"/>
        <rFont val="돋움"/>
        <family val="3"/>
        <charset val="129"/>
      </rPr>
      <t>업무별</t>
    </r>
    <r>
      <rPr>
        <sz val="10"/>
        <rFont val="Trebuchet MS"/>
        <family val="2"/>
      </rPr>
      <t xml:space="preserve"> </t>
    </r>
    <r>
      <rPr>
        <sz val="10"/>
        <rFont val="돋움"/>
        <family val="3"/>
        <charset val="129"/>
      </rPr>
      <t>특성에</t>
    </r>
    <r>
      <rPr>
        <sz val="10"/>
        <rFont val="Trebuchet MS"/>
        <family val="2"/>
      </rPr>
      <t xml:space="preserve"> </t>
    </r>
    <r>
      <rPr>
        <sz val="10"/>
        <rFont val="돋움"/>
        <family val="3"/>
        <charset val="129"/>
      </rPr>
      <t>따라</t>
    </r>
    <r>
      <rPr>
        <sz val="10"/>
        <rFont val="Trebuchet MS"/>
        <family val="2"/>
      </rPr>
      <t xml:space="preserve"> </t>
    </r>
    <r>
      <rPr>
        <sz val="10"/>
        <rFont val="돋움"/>
        <family val="3"/>
        <charset val="129"/>
      </rPr>
      <t>차별화</t>
    </r>
    <r>
      <rPr>
        <sz val="10"/>
        <rFont val="Trebuchet MS"/>
        <family val="2"/>
      </rPr>
      <t xml:space="preserve"> </t>
    </r>
    <r>
      <rPr>
        <sz val="10"/>
        <rFont val="돋움"/>
        <family val="3"/>
        <charset val="129"/>
      </rPr>
      <t>되어야</t>
    </r>
    <r>
      <rPr>
        <sz val="10"/>
        <rFont val="Trebuchet MS"/>
        <family val="2"/>
      </rPr>
      <t xml:space="preserve"> </t>
    </r>
    <r>
      <rPr>
        <sz val="10"/>
        <rFont val="돋움"/>
        <family val="3"/>
        <charset val="129"/>
      </rPr>
      <t>함</t>
    </r>
    <r>
      <rPr>
        <sz val="10"/>
        <rFont val="Trebuchet MS"/>
        <family val="2"/>
      </rPr>
      <t xml:space="preserve"> </t>
    </r>
    <phoneticPr fontId="13" type="noConversion"/>
  </si>
  <si>
    <r>
      <rPr>
        <sz val="11"/>
        <rFont val="돋움"/>
        <family val="3"/>
        <charset val="129"/>
      </rPr>
      <t>계약</t>
    </r>
    <r>
      <rPr>
        <sz val="11"/>
        <rFont val="Trebuchet MS"/>
        <family val="2"/>
      </rPr>
      <t xml:space="preserve"> </t>
    </r>
    <r>
      <rPr>
        <sz val="11"/>
        <rFont val="돋움"/>
        <family val="3"/>
        <charset val="129"/>
      </rPr>
      <t>성립의</t>
    </r>
    <r>
      <rPr>
        <sz val="11"/>
        <rFont val="Trebuchet MS"/>
        <family val="2"/>
      </rPr>
      <t xml:space="preserve"> </t>
    </r>
    <r>
      <rPr>
        <sz val="11"/>
        <rFont val="돋움"/>
        <family val="3"/>
        <charset val="129"/>
      </rPr>
      <t>최소</t>
    </r>
    <r>
      <rPr>
        <sz val="11"/>
        <rFont val="Trebuchet MS"/>
        <family val="2"/>
      </rPr>
      <t xml:space="preserve"> </t>
    </r>
    <r>
      <rPr>
        <sz val="11"/>
        <rFont val="돋움"/>
        <family val="3"/>
        <charset val="129"/>
      </rPr>
      <t>요건인</t>
    </r>
    <r>
      <rPr>
        <sz val="11"/>
        <rFont val="Trebuchet MS"/>
        <family val="2"/>
      </rPr>
      <t xml:space="preserve"> </t>
    </r>
    <r>
      <rPr>
        <sz val="11"/>
        <rFont val="돋움"/>
        <family val="3"/>
        <charset val="129"/>
      </rPr>
      <t>기본</t>
    </r>
    <r>
      <rPr>
        <sz val="11"/>
        <rFont val="Trebuchet MS"/>
        <family val="2"/>
      </rPr>
      <t xml:space="preserve"> </t>
    </r>
    <r>
      <rPr>
        <sz val="11"/>
        <rFont val="돋움"/>
        <family val="3"/>
        <charset val="129"/>
      </rPr>
      <t>계약서를</t>
    </r>
    <r>
      <rPr>
        <sz val="11"/>
        <rFont val="Trebuchet MS"/>
        <family val="2"/>
      </rPr>
      <t xml:space="preserve"> </t>
    </r>
    <r>
      <rPr>
        <sz val="11"/>
        <rFont val="돋움"/>
        <family val="3"/>
        <charset val="129"/>
      </rPr>
      <t>체결하였는가</t>
    </r>
    <r>
      <rPr>
        <sz val="11"/>
        <rFont val="Trebuchet MS"/>
        <family val="2"/>
      </rPr>
      <t>?</t>
    </r>
    <phoneticPr fontId="13" type="noConversion"/>
  </si>
  <si>
    <r>
      <rPr>
        <sz val="11"/>
        <rFont val="돋움"/>
        <family val="3"/>
        <charset val="129"/>
      </rPr>
      <t>계약서의</t>
    </r>
    <r>
      <rPr>
        <sz val="11"/>
        <rFont val="Trebuchet MS"/>
        <family val="2"/>
      </rPr>
      <t xml:space="preserve"> </t>
    </r>
    <r>
      <rPr>
        <sz val="11"/>
        <rFont val="돋움"/>
        <family val="3"/>
        <charset val="129"/>
      </rPr>
      <t>유효</t>
    </r>
    <r>
      <rPr>
        <sz val="11"/>
        <rFont val="Trebuchet MS"/>
        <family val="2"/>
      </rPr>
      <t xml:space="preserve"> </t>
    </r>
    <r>
      <rPr>
        <sz val="11"/>
        <rFont val="돋움"/>
        <family val="3"/>
        <charset val="129"/>
      </rPr>
      <t>기간</t>
    </r>
    <r>
      <rPr>
        <sz val="11"/>
        <rFont val="Trebuchet MS"/>
        <family val="2"/>
      </rPr>
      <t xml:space="preserve"> </t>
    </r>
    <r>
      <rPr>
        <sz val="11"/>
        <rFont val="돋움"/>
        <family val="3"/>
        <charset val="129"/>
      </rPr>
      <t>및</t>
    </r>
    <r>
      <rPr>
        <sz val="11"/>
        <rFont val="Trebuchet MS"/>
        <family val="2"/>
      </rPr>
      <t xml:space="preserve"> </t>
    </r>
    <r>
      <rPr>
        <sz val="11"/>
        <rFont val="돋움"/>
        <family val="3"/>
        <charset val="129"/>
      </rPr>
      <t>갱신</t>
    </r>
    <r>
      <rPr>
        <sz val="11"/>
        <rFont val="Trebuchet MS"/>
        <family val="2"/>
      </rPr>
      <t xml:space="preserve"> </t>
    </r>
    <r>
      <rPr>
        <sz val="11"/>
        <rFont val="돋움"/>
        <family val="3"/>
        <charset val="129"/>
      </rPr>
      <t>주기는</t>
    </r>
    <r>
      <rPr>
        <sz val="11"/>
        <rFont val="Trebuchet MS"/>
        <family val="2"/>
      </rPr>
      <t xml:space="preserve"> 1</t>
    </r>
    <r>
      <rPr>
        <sz val="11"/>
        <rFont val="돋움"/>
        <family val="3"/>
        <charset val="129"/>
      </rPr>
      <t>년을</t>
    </r>
    <r>
      <rPr>
        <sz val="11"/>
        <rFont val="Trebuchet MS"/>
        <family val="2"/>
      </rPr>
      <t xml:space="preserve"> </t>
    </r>
    <r>
      <rPr>
        <sz val="11"/>
        <rFont val="돋움"/>
        <family val="3"/>
        <charset val="129"/>
      </rPr>
      <t>기본</t>
    </r>
    <r>
      <rPr>
        <sz val="11"/>
        <rFont val="Trebuchet MS"/>
        <family val="2"/>
      </rPr>
      <t xml:space="preserve"> </t>
    </r>
    <r>
      <rPr>
        <sz val="11"/>
        <rFont val="돋움"/>
        <family val="3"/>
        <charset val="129"/>
      </rPr>
      <t>원칙으로</t>
    </r>
    <r>
      <rPr>
        <sz val="11"/>
        <rFont val="Trebuchet MS"/>
        <family val="2"/>
      </rPr>
      <t xml:space="preserve"> </t>
    </r>
    <r>
      <rPr>
        <sz val="11"/>
        <rFont val="돋움"/>
        <family val="3"/>
        <charset val="129"/>
      </rPr>
      <t>하고</t>
    </r>
    <r>
      <rPr>
        <sz val="11"/>
        <rFont val="Trebuchet MS"/>
        <family val="2"/>
      </rPr>
      <t xml:space="preserve"> </t>
    </r>
    <r>
      <rPr>
        <sz val="11"/>
        <rFont val="돋움"/>
        <family val="3"/>
        <charset val="129"/>
      </rPr>
      <t>있는가</t>
    </r>
    <r>
      <rPr>
        <sz val="11"/>
        <rFont val="Trebuchet MS"/>
        <family val="2"/>
      </rPr>
      <t>?</t>
    </r>
    <phoneticPr fontId="13" type="noConversion"/>
  </si>
  <si>
    <r>
      <t>PSA Busan</t>
    </r>
    <r>
      <rPr>
        <sz val="11"/>
        <rFont val="돋움"/>
        <family val="3"/>
        <charset val="129"/>
      </rPr>
      <t>에서</t>
    </r>
    <r>
      <rPr>
        <sz val="11"/>
        <rFont val="Trebuchet MS"/>
        <family val="2"/>
      </rPr>
      <t xml:space="preserve"> </t>
    </r>
    <r>
      <rPr>
        <sz val="11"/>
        <rFont val="돋움"/>
        <family val="3"/>
        <charset val="129"/>
      </rPr>
      <t>작성한</t>
    </r>
    <r>
      <rPr>
        <sz val="11"/>
        <rFont val="Trebuchet MS"/>
        <family val="2"/>
      </rPr>
      <t xml:space="preserve"> </t>
    </r>
    <r>
      <rPr>
        <sz val="11"/>
        <rFont val="돋움"/>
        <family val="3"/>
        <charset val="129"/>
      </rPr>
      <t>기본</t>
    </r>
    <r>
      <rPr>
        <sz val="11"/>
        <rFont val="Trebuchet MS"/>
        <family val="2"/>
      </rPr>
      <t xml:space="preserve"> </t>
    </r>
    <r>
      <rPr>
        <sz val="11"/>
        <rFont val="돋움"/>
        <family val="3"/>
        <charset val="129"/>
      </rPr>
      <t>계약서</t>
    </r>
    <r>
      <rPr>
        <sz val="11"/>
        <rFont val="Trebuchet MS"/>
        <family val="2"/>
      </rPr>
      <t xml:space="preserve"> </t>
    </r>
    <r>
      <rPr>
        <sz val="11"/>
        <rFont val="돋움"/>
        <family val="3"/>
        <charset val="129"/>
      </rPr>
      <t>양식</t>
    </r>
    <r>
      <rPr>
        <sz val="11"/>
        <rFont val="Trebuchet MS"/>
        <family val="2"/>
      </rPr>
      <t xml:space="preserve"> </t>
    </r>
    <r>
      <rPr>
        <sz val="11"/>
        <rFont val="돋움"/>
        <family val="3"/>
        <charset val="129"/>
      </rPr>
      <t>사용이</t>
    </r>
    <r>
      <rPr>
        <sz val="11"/>
        <rFont val="Trebuchet MS"/>
        <family val="2"/>
      </rPr>
      <t xml:space="preserve"> </t>
    </r>
    <r>
      <rPr>
        <sz val="11"/>
        <rFont val="돋움"/>
        <family val="3"/>
        <charset val="129"/>
      </rPr>
      <t>불가능할</t>
    </r>
    <r>
      <rPr>
        <sz val="11"/>
        <rFont val="Trebuchet MS"/>
        <family val="2"/>
      </rPr>
      <t xml:space="preserve"> </t>
    </r>
    <r>
      <rPr>
        <sz val="11"/>
        <rFont val="돋움"/>
        <family val="3"/>
        <charset val="129"/>
      </rPr>
      <t>경우</t>
    </r>
    <r>
      <rPr>
        <sz val="11"/>
        <rFont val="Trebuchet MS"/>
        <family val="2"/>
      </rPr>
      <t xml:space="preserve">, </t>
    </r>
    <r>
      <rPr>
        <sz val="11"/>
        <rFont val="돋움"/>
        <family val="3"/>
        <charset val="129"/>
      </rPr>
      <t>타당한</t>
    </r>
    <r>
      <rPr>
        <sz val="11"/>
        <rFont val="Trebuchet MS"/>
        <family val="2"/>
      </rPr>
      <t xml:space="preserve"> </t>
    </r>
    <r>
      <rPr>
        <sz val="11"/>
        <rFont val="돋움"/>
        <family val="3"/>
        <charset val="129"/>
      </rPr>
      <t>사유를</t>
    </r>
    <r>
      <rPr>
        <sz val="11"/>
        <rFont val="Trebuchet MS"/>
        <family val="2"/>
      </rPr>
      <t xml:space="preserve"> </t>
    </r>
    <r>
      <rPr>
        <sz val="11"/>
        <rFont val="돋움"/>
        <family val="3"/>
        <charset val="129"/>
      </rPr>
      <t>작성하여</t>
    </r>
    <r>
      <rPr>
        <sz val="11"/>
        <rFont val="Trebuchet MS"/>
        <family val="2"/>
      </rPr>
      <t xml:space="preserve"> </t>
    </r>
    <r>
      <rPr>
        <sz val="11"/>
        <rFont val="돋움"/>
        <family val="3"/>
        <charset val="129"/>
      </rPr>
      <t>구매법무팀장</t>
    </r>
    <r>
      <rPr>
        <sz val="11"/>
        <rFont val="Trebuchet MS"/>
        <family val="2"/>
      </rPr>
      <t xml:space="preserve"> </t>
    </r>
    <r>
      <rPr>
        <sz val="11"/>
        <rFont val="돋움"/>
        <family val="3"/>
        <charset val="129"/>
      </rPr>
      <t>승인</t>
    </r>
    <r>
      <rPr>
        <sz val="11"/>
        <rFont val="Trebuchet MS"/>
        <family val="2"/>
      </rPr>
      <t xml:space="preserve"> </t>
    </r>
    <r>
      <rPr>
        <sz val="11"/>
        <rFont val="돋움"/>
        <family val="3"/>
        <charset val="129"/>
      </rPr>
      <t>하에</t>
    </r>
    <r>
      <rPr>
        <sz val="11"/>
        <rFont val="Trebuchet MS"/>
        <family val="2"/>
      </rPr>
      <t xml:space="preserve"> </t>
    </r>
    <r>
      <rPr>
        <sz val="11"/>
        <rFont val="돋움"/>
        <family val="3"/>
        <charset val="129"/>
      </rPr>
      <t>기본</t>
    </r>
    <r>
      <rPr>
        <sz val="11"/>
        <rFont val="Trebuchet MS"/>
        <family val="2"/>
      </rPr>
      <t xml:space="preserve"> </t>
    </r>
    <r>
      <rPr>
        <sz val="11"/>
        <rFont val="돋움"/>
        <family val="3"/>
        <charset val="129"/>
      </rPr>
      <t>계약</t>
    </r>
    <r>
      <rPr>
        <sz val="11"/>
        <rFont val="Trebuchet MS"/>
        <family val="2"/>
      </rPr>
      <t xml:space="preserve"> </t>
    </r>
    <r>
      <rPr>
        <sz val="11"/>
        <rFont val="돋움"/>
        <family val="3"/>
        <charset val="129"/>
      </rPr>
      <t>양식을</t>
    </r>
    <r>
      <rPr>
        <sz val="11"/>
        <rFont val="Trebuchet MS"/>
        <family val="2"/>
      </rPr>
      <t xml:space="preserve"> </t>
    </r>
    <r>
      <rPr>
        <sz val="11"/>
        <rFont val="돋움"/>
        <family val="3"/>
        <charset val="129"/>
      </rPr>
      <t>변형하여</t>
    </r>
    <r>
      <rPr>
        <sz val="11"/>
        <rFont val="Trebuchet MS"/>
        <family val="2"/>
      </rPr>
      <t xml:space="preserve"> </t>
    </r>
    <r>
      <rPr>
        <sz val="11"/>
        <rFont val="돋움"/>
        <family val="3"/>
        <charset val="129"/>
      </rPr>
      <t>사용하였는가</t>
    </r>
    <r>
      <rPr>
        <sz val="11"/>
        <rFont val="Trebuchet MS"/>
        <family val="2"/>
      </rPr>
      <t xml:space="preserve">? </t>
    </r>
    <phoneticPr fontId="13" type="noConversion"/>
  </si>
  <si>
    <r>
      <rPr>
        <sz val="10"/>
        <rFont val="돋움"/>
        <family val="3"/>
        <charset val="129"/>
      </rPr>
      <t>이</t>
    </r>
    <r>
      <rPr>
        <sz val="10"/>
        <rFont val="Trebuchet MS"/>
        <family val="2"/>
      </rPr>
      <t xml:space="preserve"> </t>
    </r>
    <r>
      <rPr>
        <sz val="10"/>
        <rFont val="돋움"/>
        <family val="3"/>
        <charset val="129"/>
      </rPr>
      <t>경우</t>
    </r>
    <r>
      <rPr>
        <sz val="10"/>
        <rFont val="Trebuchet MS"/>
        <family val="2"/>
      </rPr>
      <t xml:space="preserve"> </t>
    </r>
    <r>
      <rPr>
        <sz val="10"/>
        <rFont val="돋움"/>
        <family val="3"/>
        <charset val="129"/>
      </rPr>
      <t>구매법무팀의</t>
    </r>
    <r>
      <rPr>
        <sz val="10"/>
        <rFont val="Trebuchet MS"/>
        <family val="2"/>
      </rPr>
      <t xml:space="preserve"> </t>
    </r>
    <r>
      <rPr>
        <sz val="10"/>
        <rFont val="돋움"/>
        <family val="3"/>
        <charset val="129"/>
      </rPr>
      <t>검수를</t>
    </r>
    <r>
      <rPr>
        <sz val="10"/>
        <rFont val="Trebuchet MS"/>
        <family val="2"/>
      </rPr>
      <t xml:space="preserve"> </t>
    </r>
    <r>
      <rPr>
        <sz val="10"/>
        <rFont val="돋움"/>
        <family val="3"/>
        <charset val="129"/>
      </rPr>
      <t>거쳐야</t>
    </r>
    <r>
      <rPr>
        <sz val="10"/>
        <rFont val="Trebuchet MS"/>
        <family val="2"/>
      </rPr>
      <t xml:space="preserve"> </t>
    </r>
    <r>
      <rPr>
        <sz val="10"/>
        <rFont val="돋움"/>
        <family val="3"/>
        <charset val="129"/>
      </rPr>
      <t>함</t>
    </r>
    <phoneticPr fontId="13" type="noConversion"/>
  </si>
  <si>
    <r>
      <rPr>
        <sz val="11"/>
        <rFont val="돋움"/>
        <family val="3"/>
        <charset val="129"/>
      </rPr>
      <t>복수</t>
    </r>
    <r>
      <rPr>
        <sz val="11"/>
        <rFont val="Trebuchet MS"/>
        <family val="2"/>
      </rPr>
      <t xml:space="preserve"> </t>
    </r>
    <r>
      <rPr>
        <sz val="11"/>
        <rFont val="돋움"/>
        <family val="3"/>
        <charset val="129"/>
      </rPr>
      <t>입찰</t>
    </r>
    <r>
      <rPr>
        <sz val="11"/>
        <rFont val="Trebuchet MS"/>
        <family val="2"/>
      </rPr>
      <t xml:space="preserve"> </t>
    </r>
    <r>
      <rPr>
        <sz val="11"/>
        <rFont val="돋움"/>
        <family val="3"/>
        <charset val="129"/>
      </rPr>
      <t>없이</t>
    </r>
    <r>
      <rPr>
        <sz val="11"/>
        <rFont val="Trebuchet MS"/>
        <family val="2"/>
      </rPr>
      <t xml:space="preserve"> </t>
    </r>
    <r>
      <rPr>
        <sz val="11"/>
        <rFont val="돋움"/>
        <family val="3"/>
        <charset val="129"/>
      </rPr>
      <t>동일</t>
    </r>
    <r>
      <rPr>
        <sz val="11"/>
        <rFont val="Trebuchet MS"/>
        <family val="2"/>
      </rPr>
      <t xml:space="preserve"> </t>
    </r>
    <r>
      <rPr>
        <sz val="11"/>
        <rFont val="돋움"/>
        <family val="3"/>
        <charset val="129"/>
      </rPr>
      <t>공급사와</t>
    </r>
    <r>
      <rPr>
        <sz val="11"/>
        <rFont val="Trebuchet MS"/>
        <family val="2"/>
      </rPr>
      <t xml:space="preserve"> </t>
    </r>
    <r>
      <rPr>
        <sz val="11"/>
        <rFont val="돋움"/>
        <family val="3"/>
        <charset val="129"/>
      </rPr>
      <t>계약</t>
    </r>
    <r>
      <rPr>
        <sz val="11"/>
        <rFont val="Trebuchet MS"/>
        <family val="2"/>
      </rPr>
      <t xml:space="preserve"> </t>
    </r>
    <r>
      <rPr>
        <sz val="11"/>
        <rFont val="돋움"/>
        <family val="3"/>
        <charset val="129"/>
      </rPr>
      <t>기간</t>
    </r>
    <r>
      <rPr>
        <sz val="11"/>
        <rFont val="Trebuchet MS"/>
        <family val="2"/>
      </rPr>
      <t xml:space="preserve"> 
</t>
    </r>
    <r>
      <rPr>
        <sz val="11"/>
        <rFont val="돋움"/>
        <family val="3"/>
        <charset val="129"/>
      </rPr>
      <t>연장을</t>
    </r>
    <r>
      <rPr>
        <sz val="11"/>
        <rFont val="Trebuchet MS"/>
        <family val="2"/>
      </rPr>
      <t xml:space="preserve"> </t>
    </r>
    <r>
      <rPr>
        <sz val="11"/>
        <rFont val="돋움"/>
        <family val="3"/>
        <charset val="129"/>
      </rPr>
      <t>위한</t>
    </r>
    <r>
      <rPr>
        <sz val="11"/>
        <rFont val="Trebuchet MS"/>
        <family val="2"/>
      </rPr>
      <t xml:space="preserve"> </t>
    </r>
    <r>
      <rPr>
        <sz val="11"/>
        <rFont val="돋움"/>
        <family val="3"/>
        <charset val="129"/>
      </rPr>
      <t>검증</t>
    </r>
    <r>
      <rPr>
        <sz val="11"/>
        <rFont val="Trebuchet MS"/>
        <family val="2"/>
      </rPr>
      <t xml:space="preserve"> </t>
    </r>
    <r>
      <rPr>
        <sz val="11"/>
        <rFont val="돋움"/>
        <family val="3"/>
        <charset val="129"/>
      </rPr>
      <t>및</t>
    </r>
    <r>
      <rPr>
        <sz val="11"/>
        <rFont val="Trebuchet MS"/>
        <family val="2"/>
      </rPr>
      <t xml:space="preserve"> </t>
    </r>
    <r>
      <rPr>
        <sz val="11"/>
        <rFont val="돋움"/>
        <family val="3"/>
        <charset val="129"/>
      </rPr>
      <t>승인</t>
    </r>
    <r>
      <rPr>
        <sz val="11"/>
        <rFont val="Trebuchet MS"/>
        <family val="2"/>
      </rPr>
      <t xml:space="preserve"> </t>
    </r>
    <r>
      <rPr>
        <sz val="11"/>
        <rFont val="돋움"/>
        <family val="3"/>
        <charset val="129"/>
      </rPr>
      <t>과정을</t>
    </r>
    <r>
      <rPr>
        <sz val="11"/>
        <rFont val="Trebuchet MS"/>
        <family val="2"/>
      </rPr>
      <t xml:space="preserve"> </t>
    </r>
    <r>
      <rPr>
        <sz val="11"/>
        <rFont val="돋움"/>
        <family val="3"/>
        <charset val="129"/>
      </rPr>
      <t>이행하였는가</t>
    </r>
    <r>
      <rPr>
        <sz val="11"/>
        <rFont val="Trebuchet MS"/>
        <family val="2"/>
      </rPr>
      <t>?</t>
    </r>
    <phoneticPr fontId="13" type="noConversion"/>
  </si>
  <si>
    <r>
      <rPr>
        <sz val="10"/>
        <rFont val="돋움"/>
        <family val="3"/>
        <charset val="129"/>
      </rPr>
      <t>복수</t>
    </r>
    <r>
      <rPr>
        <sz val="10"/>
        <rFont val="Trebuchet MS"/>
        <family val="2"/>
      </rPr>
      <t xml:space="preserve"> </t>
    </r>
    <r>
      <rPr>
        <sz val="10"/>
        <rFont val="돋움"/>
        <family val="3"/>
        <charset val="129"/>
      </rPr>
      <t>입찰</t>
    </r>
    <r>
      <rPr>
        <sz val="10"/>
        <rFont val="Trebuchet MS"/>
        <family val="2"/>
      </rPr>
      <t xml:space="preserve"> </t>
    </r>
    <r>
      <rPr>
        <sz val="10"/>
        <rFont val="돋움"/>
        <family val="3"/>
        <charset val="129"/>
      </rPr>
      <t>없이</t>
    </r>
    <r>
      <rPr>
        <sz val="10"/>
        <rFont val="Trebuchet MS"/>
        <family val="2"/>
      </rPr>
      <t xml:space="preserve"> </t>
    </r>
    <r>
      <rPr>
        <sz val="10"/>
        <rFont val="돋움"/>
        <family val="3"/>
        <charset val="129"/>
      </rPr>
      <t>동일</t>
    </r>
    <r>
      <rPr>
        <sz val="10"/>
        <rFont val="Trebuchet MS"/>
        <family val="2"/>
      </rPr>
      <t xml:space="preserve"> </t>
    </r>
    <r>
      <rPr>
        <sz val="10"/>
        <rFont val="돋움"/>
        <family val="3"/>
        <charset val="129"/>
      </rPr>
      <t>공급사와</t>
    </r>
    <r>
      <rPr>
        <sz val="10"/>
        <rFont val="Trebuchet MS"/>
        <family val="2"/>
      </rPr>
      <t xml:space="preserve"> </t>
    </r>
    <r>
      <rPr>
        <sz val="10"/>
        <rFont val="돋움"/>
        <family val="3"/>
        <charset val="129"/>
      </rPr>
      <t>계약</t>
    </r>
    <r>
      <rPr>
        <sz val="10"/>
        <rFont val="Trebuchet MS"/>
        <family val="2"/>
      </rPr>
      <t xml:space="preserve"> </t>
    </r>
    <r>
      <rPr>
        <sz val="10"/>
        <rFont val="돋움"/>
        <family val="3"/>
        <charset val="129"/>
      </rPr>
      <t>기간을</t>
    </r>
    <r>
      <rPr>
        <sz val="10"/>
        <rFont val="Trebuchet MS"/>
        <family val="2"/>
      </rPr>
      <t xml:space="preserve"> </t>
    </r>
    <r>
      <rPr>
        <sz val="10"/>
        <rFont val="돋움"/>
        <family val="3"/>
        <charset val="129"/>
      </rPr>
      <t>연장하기</t>
    </r>
    <r>
      <rPr>
        <sz val="10"/>
        <rFont val="Trebuchet MS"/>
        <family val="2"/>
      </rPr>
      <t xml:space="preserve"> </t>
    </r>
    <r>
      <rPr>
        <sz val="10"/>
        <rFont val="돋움"/>
        <family val="3"/>
        <charset val="129"/>
      </rPr>
      <t>위해서는</t>
    </r>
    <r>
      <rPr>
        <sz val="10"/>
        <rFont val="Trebuchet MS"/>
        <family val="2"/>
      </rPr>
      <t xml:space="preserve">, </t>
    </r>
    <r>
      <rPr>
        <sz val="10"/>
        <rFont val="돋움"/>
        <family val="3"/>
        <charset val="129"/>
      </rPr>
      <t>연장</t>
    </r>
    <r>
      <rPr>
        <sz val="10"/>
        <rFont val="Trebuchet MS"/>
        <family val="2"/>
      </rPr>
      <t xml:space="preserve"> </t>
    </r>
    <r>
      <rPr>
        <sz val="10"/>
        <rFont val="돋움"/>
        <family val="3"/>
        <charset val="129"/>
      </rPr>
      <t>계약하고자</t>
    </r>
    <r>
      <rPr>
        <sz val="10"/>
        <rFont val="Trebuchet MS"/>
        <family val="2"/>
      </rPr>
      <t xml:space="preserve"> </t>
    </r>
    <r>
      <rPr>
        <sz val="10"/>
        <rFont val="돋움"/>
        <family val="3"/>
        <charset val="129"/>
      </rPr>
      <t>하는</t>
    </r>
    <r>
      <rPr>
        <sz val="10"/>
        <rFont val="Trebuchet MS"/>
        <family val="2"/>
      </rPr>
      <t xml:space="preserve"> </t>
    </r>
    <r>
      <rPr>
        <sz val="10"/>
        <rFont val="돋움"/>
        <family val="3"/>
        <charset val="129"/>
      </rPr>
      <t>요율을</t>
    </r>
    <r>
      <rPr>
        <sz val="10"/>
        <rFont val="Trebuchet MS"/>
        <family val="2"/>
      </rPr>
      <t xml:space="preserve"> </t>
    </r>
    <r>
      <rPr>
        <sz val="10"/>
        <rFont val="돋움"/>
        <family val="3"/>
        <charset val="129"/>
      </rPr>
      <t>포함한</t>
    </r>
    <r>
      <rPr>
        <sz val="10"/>
        <rFont val="Trebuchet MS"/>
        <family val="2"/>
      </rPr>
      <t xml:space="preserve"> </t>
    </r>
    <r>
      <rPr>
        <sz val="10"/>
        <rFont val="돋움"/>
        <family val="3"/>
        <charset val="129"/>
      </rPr>
      <t>계약</t>
    </r>
    <r>
      <rPr>
        <sz val="10"/>
        <rFont val="Trebuchet MS"/>
        <family val="2"/>
      </rPr>
      <t xml:space="preserve"> </t>
    </r>
    <r>
      <rPr>
        <sz val="10"/>
        <rFont val="돋움"/>
        <family val="3"/>
        <charset val="129"/>
      </rPr>
      <t>조건이</t>
    </r>
    <r>
      <rPr>
        <sz val="10"/>
        <rFont val="Trebuchet MS"/>
        <family val="2"/>
      </rPr>
      <t xml:space="preserve"> </t>
    </r>
    <r>
      <rPr>
        <sz val="10"/>
        <rFont val="돋움"/>
        <family val="3"/>
        <charset val="129"/>
      </rPr>
      <t>해당</t>
    </r>
    <r>
      <rPr>
        <sz val="10"/>
        <rFont val="Trebuchet MS"/>
        <family val="2"/>
      </rPr>
      <t xml:space="preserve"> </t>
    </r>
    <r>
      <rPr>
        <sz val="10"/>
        <rFont val="돋움"/>
        <family val="3"/>
        <charset val="129"/>
      </rPr>
      <t>시기에</t>
    </r>
    <r>
      <rPr>
        <sz val="10"/>
        <rFont val="Trebuchet MS"/>
        <family val="2"/>
      </rPr>
      <t xml:space="preserve"> </t>
    </r>
    <r>
      <rPr>
        <sz val="10"/>
        <rFont val="돋움"/>
        <family val="3"/>
        <charset val="129"/>
      </rPr>
      <t>가장</t>
    </r>
    <r>
      <rPr>
        <sz val="10"/>
        <rFont val="Trebuchet MS"/>
        <family val="2"/>
      </rPr>
      <t xml:space="preserve"> </t>
    </r>
    <r>
      <rPr>
        <sz val="10"/>
        <rFont val="돋움"/>
        <family val="3"/>
        <charset val="129"/>
      </rPr>
      <t>최적의</t>
    </r>
    <r>
      <rPr>
        <sz val="10"/>
        <rFont val="Trebuchet MS"/>
        <family val="2"/>
      </rPr>
      <t xml:space="preserve"> </t>
    </r>
    <r>
      <rPr>
        <sz val="10"/>
        <rFont val="돋움"/>
        <family val="3"/>
        <charset val="129"/>
      </rPr>
      <t>것임을</t>
    </r>
    <r>
      <rPr>
        <sz val="10"/>
        <rFont val="Trebuchet MS"/>
        <family val="2"/>
      </rPr>
      <t xml:space="preserve"> </t>
    </r>
    <r>
      <rPr>
        <sz val="10"/>
        <rFont val="돋움"/>
        <family val="3"/>
        <charset val="129"/>
      </rPr>
      <t>규명하여야</t>
    </r>
    <r>
      <rPr>
        <sz val="10"/>
        <rFont val="Trebuchet MS"/>
        <family val="2"/>
      </rPr>
      <t xml:space="preserve"> </t>
    </r>
    <r>
      <rPr>
        <sz val="10"/>
        <rFont val="돋움"/>
        <family val="3"/>
        <charset val="129"/>
      </rPr>
      <t>함</t>
    </r>
    <phoneticPr fontId="13" type="noConversion"/>
  </si>
  <si>
    <r>
      <rPr>
        <sz val="11"/>
        <color theme="0"/>
        <rFont val="맑은 고딕"/>
        <family val="2"/>
        <charset val="129"/>
      </rPr>
      <t>구</t>
    </r>
    <r>
      <rPr>
        <sz val="11"/>
        <color theme="0"/>
        <rFont val="Trebuchet MS"/>
        <family val="2"/>
      </rPr>
      <t xml:space="preserve"> </t>
    </r>
    <r>
      <rPr>
        <sz val="11"/>
        <color theme="0"/>
        <rFont val="맑은 고딕"/>
        <family val="2"/>
        <charset val="129"/>
      </rPr>
      <t>분</t>
    </r>
    <phoneticPr fontId="22" type="noConversion"/>
  </si>
  <si>
    <r>
      <rPr>
        <sz val="11"/>
        <color theme="0"/>
        <rFont val="맑은 고딕"/>
        <family val="3"/>
        <charset val="129"/>
      </rPr>
      <t>평가항목</t>
    </r>
    <phoneticPr fontId="22" type="noConversion"/>
  </si>
  <si>
    <r>
      <rPr>
        <sz val="11"/>
        <color theme="0"/>
        <rFont val="맑은 고딕"/>
        <family val="3"/>
        <charset val="129"/>
      </rPr>
      <t>평가</t>
    </r>
    <r>
      <rPr>
        <sz val="11"/>
        <color theme="0"/>
        <rFont val="Trebuchet MS"/>
        <family val="2"/>
      </rPr>
      <t xml:space="preserve"> </t>
    </r>
    <r>
      <rPr>
        <sz val="11"/>
        <color theme="0"/>
        <rFont val="맑은 고딕"/>
        <family val="3"/>
        <charset val="129"/>
      </rPr>
      <t>세부</t>
    </r>
    <r>
      <rPr>
        <sz val="11"/>
        <color theme="0"/>
        <rFont val="Trebuchet MS"/>
        <family val="2"/>
      </rPr>
      <t xml:space="preserve"> </t>
    </r>
    <r>
      <rPr>
        <sz val="11"/>
        <color theme="0"/>
        <rFont val="맑은 고딕"/>
        <family val="3"/>
        <charset val="129"/>
      </rPr>
      <t>구분</t>
    </r>
    <phoneticPr fontId="22" type="noConversion"/>
  </si>
  <si>
    <r>
      <rPr>
        <sz val="11"/>
        <color theme="0"/>
        <rFont val="맑은 고딕"/>
        <family val="3"/>
        <charset val="129"/>
      </rPr>
      <t>배점</t>
    </r>
    <phoneticPr fontId="6" type="noConversion"/>
  </si>
  <si>
    <r>
      <rPr>
        <sz val="11"/>
        <color theme="0"/>
        <rFont val="맑은 고딕"/>
        <family val="3"/>
        <charset val="129"/>
      </rPr>
      <t>점</t>
    </r>
    <r>
      <rPr>
        <sz val="11"/>
        <color theme="0"/>
        <rFont val="Trebuchet MS"/>
        <family val="2"/>
      </rPr>
      <t xml:space="preserve"> </t>
    </r>
    <r>
      <rPr>
        <sz val="11"/>
        <color theme="0"/>
        <rFont val="맑은 고딕"/>
        <family val="3"/>
        <charset val="129"/>
      </rPr>
      <t>수</t>
    </r>
    <phoneticPr fontId="22" type="noConversion"/>
  </si>
  <si>
    <r>
      <rPr>
        <sz val="11"/>
        <color theme="0"/>
        <rFont val="맑은 고딕"/>
        <family val="3"/>
        <charset val="129"/>
      </rPr>
      <t>비</t>
    </r>
    <r>
      <rPr>
        <sz val="11"/>
        <color theme="0"/>
        <rFont val="Trebuchet MS"/>
        <family val="2"/>
      </rPr>
      <t xml:space="preserve"> </t>
    </r>
    <r>
      <rPr>
        <sz val="11"/>
        <color theme="0"/>
        <rFont val="맑은 고딕"/>
        <family val="3"/>
        <charset val="129"/>
      </rPr>
      <t>고</t>
    </r>
    <phoneticPr fontId="22" type="noConversion"/>
  </si>
  <si>
    <r>
      <rPr>
        <sz val="11"/>
        <color theme="1"/>
        <rFont val="맑은 고딕"/>
        <family val="2"/>
        <charset val="129"/>
      </rPr>
      <t>재무현황</t>
    </r>
    <r>
      <rPr>
        <sz val="11"/>
        <color theme="1"/>
        <rFont val="Trebuchet MS"/>
        <family val="2"/>
      </rPr>
      <t xml:space="preserve"> </t>
    </r>
    <r>
      <rPr>
        <sz val="11"/>
        <color theme="1"/>
        <rFont val="맑은 고딕"/>
        <family val="2"/>
        <charset val="129"/>
      </rPr>
      <t>개선도</t>
    </r>
    <r>
      <rPr>
        <sz val="11"/>
        <color theme="1"/>
        <rFont val="Trebuchet MS"/>
        <family val="2"/>
      </rPr>
      <t xml:space="preserve"> (</t>
    </r>
    <r>
      <rPr>
        <sz val="11"/>
        <color theme="1"/>
        <rFont val="맑은 고딕"/>
        <family val="2"/>
        <charset val="129"/>
      </rPr>
      <t>전년도</t>
    </r>
    <r>
      <rPr>
        <sz val="11"/>
        <color theme="1"/>
        <rFont val="Trebuchet MS"/>
        <family val="2"/>
      </rPr>
      <t xml:space="preserve"> </t>
    </r>
    <r>
      <rPr>
        <sz val="11"/>
        <color theme="1"/>
        <rFont val="맑은 고딕"/>
        <family val="2"/>
        <charset val="129"/>
      </rPr>
      <t>대비</t>
    </r>
    <r>
      <rPr>
        <sz val="11"/>
        <color theme="1"/>
        <rFont val="Trebuchet MS"/>
        <family val="2"/>
      </rPr>
      <t>)</t>
    </r>
    <phoneticPr fontId="22" type="noConversion"/>
  </si>
  <si>
    <t>Company Certification</t>
    <phoneticPr fontId="22" type="noConversion"/>
  </si>
  <si>
    <r>
      <t xml:space="preserve">ISO </t>
    </r>
    <r>
      <rPr>
        <sz val="11"/>
        <color theme="1"/>
        <rFont val="맑은 고딕"/>
        <family val="2"/>
        <charset val="129"/>
      </rPr>
      <t>인증</t>
    </r>
    <r>
      <rPr>
        <sz val="11"/>
        <color theme="1"/>
        <rFont val="Trebuchet MS"/>
        <family val="2"/>
      </rPr>
      <t xml:space="preserve"> </t>
    </r>
    <r>
      <rPr>
        <sz val="11"/>
        <color theme="1"/>
        <rFont val="맑은 고딕"/>
        <family val="2"/>
        <charset val="129"/>
      </rPr>
      <t>여부</t>
    </r>
    <phoneticPr fontId="22" type="noConversion"/>
  </si>
  <si>
    <r>
      <rPr>
        <sz val="11"/>
        <color theme="1"/>
        <rFont val="맑은 고딕"/>
        <family val="2"/>
        <charset val="129"/>
      </rPr>
      <t>전담</t>
    </r>
    <r>
      <rPr>
        <sz val="11"/>
        <color theme="1"/>
        <rFont val="Trebuchet MS"/>
        <family val="2"/>
      </rPr>
      <t xml:space="preserve"> </t>
    </r>
    <r>
      <rPr>
        <sz val="11"/>
        <color theme="1"/>
        <rFont val="맑은 고딕"/>
        <family val="2"/>
        <charset val="129"/>
      </rPr>
      <t>조직</t>
    </r>
    <r>
      <rPr>
        <sz val="11"/>
        <color theme="1"/>
        <rFont val="Trebuchet MS"/>
        <family val="2"/>
      </rPr>
      <t xml:space="preserve"> </t>
    </r>
    <r>
      <rPr>
        <sz val="11"/>
        <color theme="1"/>
        <rFont val="맑은 고딕"/>
        <family val="2"/>
        <charset val="129"/>
      </rPr>
      <t>구성</t>
    </r>
    <phoneticPr fontId="22" type="noConversion"/>
  </si>
  <si>
    <r>
      <rPr>
        <sz val="11"/>
        <color theme="1"/>
        <rFont val="맑은 고딕"/>
        <family val="2"/>
        <charset val="129"/>
      </rPr>
      <t>당사와의</t>
    </r>
    <r>
      <rPr>
        <sz val="11"/>
        <color theme="1"/>
        <rFont val="Trebuchet MS"/>
        <family val="2"/>
      </rPr>
      <t xml:space="preserve"> </t>
    </r>
    <r>
      <rPr>
        <sz val="11"/>
        <color theme="1"/>
        <rFont val="맑은 고딕"/>
        <family val="2"/>
        <charset val="129"/>
      </rPr>
      <t>거래이력</t>
    </r>
    <phoneticPr fontId="22" type="noConversion"/>
  </si>
  <si>
    <r>
      <rPr>
        <sz val="11"/>
        <color theme="1"/>
        <rFont val="맑은 고딕"/>
        <family val="2"/>
        <charset val="129"/>
      </rPr>
      <t>소</t>
    </r>
    <r>
      <rPr>
        <sz val="11"/>
        <color theme="1"/>
        <rFont val="Trebuchet MS"/>
        <family val="2"/>
      </rPr>
      <t xml:space="preserve">      </t>
    </r>
    <r>
      <rPr>
        <sz val="11"/>
        <color theme="1"/>
        <rFont val="맑은 고딕"/>
        <family val="2"/>
        <charset val="129"/>
      </rPr>
      <t>계</t>
    </r>
    <phoneticPr fontId="22" type="noConversion"/>
  </si>
  <si>
    <r>
      <rPr>
        <sz val="11"/>
        <color theme="1"/>
        <rFont val="맑은 고딕"/>
        <family val="2"/>
        <charset val="129"/>
      </rPr>
      <t>원가절감율</t>
    </r>
    <phoneticPr fontId="6" type="noConversion"/>
  </si>
  <si>
    <r>
      <rPr>
        <sz val="11"/>
        <color theme="1"/>
        <rFont val="맑은 고딕"/>
        <family val="2"/>
        <charset val="129"/>
      </rPr>
      <t>품질관리</t>
    </r>
  </si>
  <si>
    <r>
      <t xml:space="preserve">CLAIM </t>
    </r>
    <r>
      <rPr>
        <sz val="11"/>
        <color theme="1"/>
        <rFont val="맑은 고딕"/>
        <family val="2"/>
        <charset val="129"/>
      </rPr>
      <t>발생</t>
    </r>
    <r>
      <rPr>
        <sz val="11"/>
        <color theme="1"/>
        <rFont val="Trebuchet MS"/>
        <family val="2"/>
      </rPr>
      <t xml:space="preserve"> </t>
    </r>
    <r>
      <rPr>
        <sz val="11"/>
        <color theme="1"/>
        <rFont val="맑은 고딕"/>
        <family val="2"/>
        <charset val="129"/>
      </rPr>
      <t>빈도</t>
    </r>
  </si>
  <si>
    <r>
      <t xml:space="preserve">CLAIM </t>
    </r>
    <r>
      <rPr>
        <sz val="11"/>
        <color theme="1"/>
        <rFont val="맑은 고딕"/>
        <family val="2"/>
        <charset val="129"/>
      </rPr>
      <t>사후관리</t>
    </r>
  </si>
  <si>
    <r>
      <rPr>
        <sz val="11"/>
        <color theme="1"/>
        <rFont val="맑은 고딕"/>
        <family val="2"/>
        <charset val="129"/>
      </rPr>
      <t>견적불가</t>
    </r>
    <r>
      <rPr>
        <sz val="11"/>
        <color theme="1"/>
        <rFont val="Trebuchet MS"/>
        <family val="2"/>
      </rPr>
      <t xml:space="preserve"> </t>
    </r>
    <r>
      <rPr>
        <sz val="11"/>
        <color theme="1"/>
        <rFont val="맑은 고딕"/>
        <family val="2"/>
        <charset val="129"/>
      </rPr>
      <t>및</t>
    </r>
    <r>
      <rPr>
        <sz val="11"/>
        <color theme="1"/>
        <rFont val="Trebuchet MS"/>
        <family val="2"/>
      </rPr>
      <t xml:space="preserve"> </t>
    </r>
    <r>
      <rPr>
        <sz val="11"/>
        <color theme="1"/>
        <rFont val="맑은 고딕"/>
        <family val="2"/>
        <charset val="129"/>
      </rPr>
      <t>지연</t>
    </r>
  </si>
  <si>
    <r>
      <rPr>
        <sz val="11"/>
        <color theme="1"/>
        <rFont val="맑은 고딕"/>
        <family val="2"/>
        <charset val="129"/>
      </rPr>
      <t>단종</t>
    </r>
    <r>
      <rPr>
        <sz val="11"/>
        <color theme="1"/>
        <rFont val="Trebuchet MS"/>
        <family val="2"/>
      </rPr>
      <t xml:space="preserve"> </t>
    </r>
    <r>
      <rPr>
        <sz val="11"/>
        <color theme="1"/>
        <rFont val="맑은 고딕"/>
        <family val="2"/>
        <charset val="129"/>
      </rPr>
      <t>및</t>
    </r>
    <r>
      <rPr>
        <sz val="11"/>
        <color theme="1"/>
        <rFont val="Trebuchet MS"/>
        <family val="2"/>
      </rPr>
      <t xml:space="preserve"> SPEC </t>
    </r>
    <r>
      <rPr>
        <sz val="11"/>
        <color theme="1"/>
        <rFont val="맑은 고딕"/>
        <family val="2"/>
        <charset val="129"/>
      </rPr>
      <t>불명확</t>
    </r>
    <r>
      <rPr>
        <sz val="11"/>
        <color theme="1"/>
        <rFont val="Trebuchet MS"/>
        <family val="2"/>
      </rPr>
      <t xml:space="preserve"> </t>
    </r>
    <r>
      <rPr>
        <sz val="11"/>
        <color theme="1"/>
        <rFont val="맑은 고딕"/>
        <family val="2"/>
        <charset val="129"/>
      </rPr>
      <t>자재</t>
    </r>
    <r>
      <rPr>
        <sz val="11"/>
        <color theme="1"/>
        <rFont val="Trebuchet MS"/>
        <family val="2"/>
      </rPr>
      <t xml:space="preserve"> </t>
    </r>
    <r>
      <rPr>
        <sz val="11"/>
        <color theme="1"/>
        <rFont val="맑은 고딕"/>
        <family val="2"/>
        <charset val="129"/>
      </rPr>
      <t>대응도</t>
    </r>
  </si>
  <si>
    <r>
      <rPr>
        <sz val="11"/>
        <color theme="1"/>
        <rFont val="맑은 고딕"/>
        <family val="2"/>
        <charset val="129"/>
      </rPr>
      <t>긴급</t>
    </r>
    <r>
      <rPr>
        <sz val="11"/>
        <color theme="1"/>
        <rFont val="Trebuchet MS"/>
        <family val="2"/>
      </rPr>
      <t>/</t>
    </r>
    <r>
      <rPr>
        <sz val="11"/>
        <color theme="1"/>
        <rFont val="맑은 고딕"/>
        <family val="2"/>
        <charset val="129"/>
      </rPr>
      <t>소량</t>
    </r>
    <r>
      <rPr>
        <sz val="11"/>
        <color theme="1"/>
        <rFont val="Trebuchet MS"/>
        <family val="2"/>
      </rPr>
      <t xml:space="preserve">, </t>
    </r>
    <r>
      <rPr>
        <sz val="11"/>
        <color theme="1"/>
        <rFont val="맑은 고딕"/>
        <family val="2"/>
        <charset val="129"/>
      </rPr>
      <t>발주</t>
    </r>
    <r>
      <rPr>
        <sz val="11"/>
        <color theme="1"/>
        <rFont val="Trebuchet MS"/>
        <family val="2"/>
      </rPr>
      <t xml:space="preserve"> </t>
    </r>
    <r>
      <rPr>
        <sz val="11"/>
        <color theme="1"/>
        <rFont val="맑은 고딕"/>
        <family val="2"/>
        <charset val="129"/>
      </rPr>
      <t>취소</t>
    </r>
    <r>
      <rPr>
        <sz val="11"/>
        <color theme="1"/>
        <rFont val="Trebuchet MS"/>
        <family val="2"/>
      </rPr>
      <t xml:space="preserve"> </t>
    </r>
    <r>
      <rPr>
        <sz val="11"/>
        <color theme="1"/>
        <rFont val="맑은 고딕"/>
        <family val="2"/>
        <charset val="129"/>
      </rPr>
      <t>대응</t>
    </r>
    <r>
      <rPr>
        <sz val="11"/>
        <color theme="1"/>
        <rFont val="Trebuchet MS"/>
        <family val="2"/>
      </rPr>
      <t xml:space="preserve"> </t>
    </r>
    <r>
      <rPr>
        <sz val="11"/>
        <color theme="1"/>
        <rFont val="맑은 고딕"/>
        <family val="2"/>
        <charset val="129"/>
      </rPr>
      <t>처리건</t>
    </r>
  </si>
  <si>
    <r>
      <rPr>
        <sz val="11"/>
        <color theme="1"/>
        <rFont val="맑은 고딕"/>
        <family val="2"/>
        <charset val="129"/>
      </rPr>
      <t>문서처리</t>
    </r>
    <r>
      <rPr>
        <sz val="11"/>
        <color theme="1"/>
        <rFont val="Trebuchet MS"/>
        <family val="2"/>
      </rPr>
      <t xml:space="preserve">(VBS, RFQ, </t>
    </r>
    <r>
      <rPr>
        <sz val="11"/>
        <color theme="1"/>
        <rFont val="맑은 고딕"/>
        <family val="2"/>
        <charset val="129"/>
      </rPr>
      <t>거래명세서</t>
    </r>
    <r>
      <rPr>
        <sz val="11"/>
        <color theme="1"/>
        <rFont val="Trebuchet MS"/>
        <family val="2"/>
      </rPr>
      <t xml:space="preserve">) </t>
    </r>
    <r>
      <rPr>
        <sz val="11"/>
        <color theme="1"/>
        <rFont val="맑은 고딕"/>
        <family val="2"/>
        <charset val="129"/>
      </rPr>
      <t>기한내</t>
    </r>
    <r>
      <rPr>
        <sz val="11"/>
        <color theme="1"/>
        <rFont val="Trebuchet MS"/>
        <family val="2"/>
      </rPr>
      <t xml:space="preserve"> </t>
    </r>
    <r>
      <rPr>
        <sz val="11"/>
        <color theme="1"/>
        <rFont val="맑은 고딕"/>
        <family val="2"/>
        <charset val="129"/>
      </rPr>
      <t>불이행율</t>
    </r>
  </si>
  <si>
    <r>
      <rPr>
        <sz val="11"/>
        <color theme="1"/>
        <rFont val="맑은 고딕"/>
        <family val="2"/>
        <charset val="129"/>
      </rPr>
      <t>납기관리</t>
    </r>
  </si>
  <si>
    <r>
      <rPr>
        <sz val="11"/>
        <color theme="1"/>
        <rFont val="맑은 고딕"/>
        <family val="2"/>
        <charset val="129"/>
      </rPr>
      <t>납기준수</t>
    </r>
  </si>
  <si>
    <r>
      <rPr>
        <sz val="11"/>
        <color theme="1"/>
        <rFont val="맑은 고딕"/>
        <family val="3"/>
        <charset val="129"/>
      </rPr>
      <t>합</t>
    </r>
    <r>
      <rPr>
        <sz val="11"/>
        <color theme="1"/>
        <rFont val="Trebuchet MS"/>
        <family val="2"/>
      </rPr>
      <t xml:space="preserve">       </t>
    </r>
    <r>
      <rPr>
        <sz val="11"/>
        <color theme="1"/>
        <rFont val="맑은 고딕"/>
        <family val="3"/>
        <charset val="129"/>
      </rPr>
      <t>계</t>
    </r>
    <phoneticPr fontId="22" type="noConversion"/>
  </si>
  <si>
    <r>
      <rPr>
        <sz val="11"/>
        <color theme="0"/>
        <rFont val="맑은 고딕"/>
        <family val="2"/>
        <charset val="129"/>
      </rPr>
      <t>구</t>
    </r>
    <r>
      <rPr>
        <sz val="11"/>
        <color theme="0"/>
        <rFont val="Trebuchet MS"/>
        <family val="2"/>
      </rPr>
      <t xml:space="preserve"> </t>
    </r>
    <r>
      <rPr>
        <sz val="11"/>
        <color theme="0"/>
        <rFont val="맑은 고딕"/>
        <family val="2"/>
        <charset val="129"/>
      </rPr>
      <t>분</t>
    </r>
    <phoneticPr fontId="22" type="noConversion"/>
  </si>
  <si>
    <r>
      <rPr>
        <sz val="11"/>
        <color theme="0"/>
        <rFont val="맑은 고딕"/>
        <family val="3"/>
        <charset val="129"/>
      </rPr>
      <t>평가항목</t>
    </r>
    <phoneticPr fontId="22" type="noConversion"/>
  </si>
  <si>
    <r>
      <rPr>
        <sz val="11"/>
        <color theme="0"/>
        <rFont val="맑은 고딕"/>
        <family val="3"/>
        <charset val="129"/>
      </rPr>
      <t>배점</t>
    </r>
    <phoneticPr fontId="6" type="noConversion"/>
  </si>
  <si>
    <r>
      <rPr>
        <sz val="11"/>
        <color theme="0"/>
        <rFont val="맑은 고딕"/>
        <family val="3"/>
        <charset val="129"/>
      </rPr>
      <t>점</t>
    </r>
    <r>
      <rPr>
        <sz val="11"/>
        <color theme="0"/>
        <rFont val="Trebuchet MS"/>
        <family val="2"/>
      </rPr>
      <t xml:space="preserve"> </t>
    </r>
    <r>
      <rPr>
        <sz val="11"/>
        <color theme="0"/>
        <rFont val="맑은 고딕"/>
        <family val="3"/>
        <charset val="129"/>
      </rPr>
      <t>수</t>
    </r>
    <phoneticPr fontId="22" type="noConversion"/>
  </si>
  <si>
    <r>
      <rPr>
        <sz val="11"/>
        <color theme="0"/>
        <rFont val="맑은 고딕"/>
        <family val="3"/>
        <charset val="129"/>
      </rPr>
      <t>비</t>
    </r>
    <r>
      <rPr>
        <sz val="11"/>
        <color theme="0"/>
        <rFont val="Trebuchet MS"/>
        <family val="2"/>
      </rPr>
      <t xml:space="preserve"> </t>
    </r>
    <r>
      <rPr>
        <sz val="11"/>
        <color theme="0"/>
        <rFont val="맑은 고딕"/>
        <family val="3"/>
        <charset val="129"/>
      </rPr>
      <t>고</t>
    </r>
    <phoneticPr fontId="22" type="noConversion"/>
  </si>
  <si>
    <t>HSSE</t>
    <phoneticPr fontId="22" type="noConversion"/>
  </si>
  <si>
    <r>
      <rPr>
        <sz val="11"/>
        <color theme="1"/>
        <rFont val="맑은 고딕"/>
        <family val="2"/>
        <charset val="129"/>
      </rPr>
      <t>협력업체</t>
    </r>
    <r>
      <rPr>
        <sz val="11"/>
        <color theme="1"/>
        <rFont val="Trebuchet MS"/>
        <family val="2"/>
      </rPr>
      <t xml:space="preserve"> </t>
    </r>
    <r>
      <rPr>
        <sz val="11"/>
        <color theme="1"/>
        <rFont val="맑은 고딕"/>
        <family val="2"/>
        <charset val="129"/>
      </rPr>
      <t>안전∙보건관리</t>
    </r>
    <phoneticPr fontId="6" type="noConversion"/>
  </si>
  <si>
    <t>O</t>
  </si>
  <si>
    <t>업 종</t>
    <phoneticPr fontId="22" type="noConversion"/>
  </si>
  <si>
    <t>[사고기록]</t>
    <phoneticPr fontId="6" type="noConversion"/>
  </si>
  <si>
    <t>[보험]</t>
    <phoneticPr fontId="6" type="noConversion"/>
  </si>
  <si>
    <t>귀사는 산업재해 보상보험이 가입되어 있습니까?</t>
    <phoneticPr fontId="6" type="noConversion"/>
  </si>
  <si>
    <t>귀사는 근로자재해보상 책임보험이 가입되어 있습니까?</t>
    <phoneticPr fontId="6" type="noConversion"/>
  </si>
  <si>
    <t>귀사는 지난 3년 동안에 중대재해가 발생되었습니까?</t>
    <phoneticPr fontId="6" type="noConversion"/>
  </si>
  <si>
    <t>귀사는 지난 3년동안에 산업재해가 발생되었습니까?</t>
    <phoneticPr fontId="6" type="noConversion"/>
  </si>
  <si>
    <t>내용</t>
    <phoneticPr fontId="6" type="noConversion"/>
  </si>
  <si>
    <t>증빙</t>
    <phoneticPr fontId="6" type="noConversion"/>
  </si>
  <si>
    <t>[교육]</t>
    <phoneticPr fontId="6" type="noConversion"/>
  </si>
  <si>
    <t>1. YES</t>
    <phoneticPr fontId="6" type="noConversion"/>
  </si>
  <si>
    <t>점수</t>
    <phoneticPr fontId="6" type="noConversion"/>
  </si>
  <si>
    <t>3. 해당 없음</t>
    <phoneticPr fontId="6" type="noConversion"/>
  </si>
  <si>
    <t>귀사는 산업안전보건법 제 15조에 따라 안전관리자가 선임되어 있습니까?</t>
    <phoneticPr fontId="6" type="noConversion"/>
  </si>
  <si>
    <t>귀사는 산업안전보건법 제 16조에 따라 보건관리자가 선임되어 있습니까?</t>
    <phoneticPr fontId="6" type="noConversion"/>
  </si>
  <si>
    <t>귀사의 지난 3년 동안에 1번, 2번의 사고 이외의 업무 관련 사고 또는 질병이 발생된 적이 있습니까?</t>
    <phoneticPr fontId="22" type="noConversion"/>
  </si>
  <si>
    <t>사본제출</t>
    <phoneticPr fontId="6" type="noConversion"/>
  </si>
  <si>
    <t>[안전보건관리자 선임] 해당없을 경우 비워둘것</t>
    <phoneticPr fontId="6" type="noConversion"/>
  </si>
  <si>
    <t>회사명</t>
    <phoneticPr fontId="6" type="noConversion"/>
  </si>
  <si>
    <t>Contractor List</t>
    <phoneticPr fontId="22" type="noConversion"/>
  </si>
  <si>
    <t>No.</t>
  </si>
  <si>
    <t>LBU</t>
    <phoneticPr fontId="22" type="noConversion"/>
  </si>
  <si>
    <t>업종</t>
    <phoneticPr fontId="22" type="noConversion"/>
  </si>
  <si>
    <t>직책</t>
  </si>
  <si>
    <t>연락처</t>
    <phoneticPr fontId="22" type="noConversion"/>
  </si>
  <si>
    <t>E-Mail</t>
    <phoneticPr fontId="22" type="noConversion"/>
  </si>
  <si>
    <t>IAMP</t>
    <phoneticPr fontId="22" type="noConversion"/>
  </si>
  <si>
    <t>EP4P&amp;IAMA</t>
    <phoneticPr fontId="22" type="noConversion"/>
  </si>
  <si>
    <t>EP</t>
    <phoneticPr fontId="22" type="noConversion"/>
  </si>
  <si>
    <t>RM</t>
    <phoneticPr fontId="22" type="noConversion"/>
  </si>
  <si>
    <t>IAPI</t>
    <phoneticPr fontId="22" type="noConversion"/>
  </si>
  <si>
    <t>PGGA</t>
    <phoneticPr fontId="22" type="noConversion"/>
  </si>
  <si>
    <t>PGTR</t>
    <phoneticPr fontId="22" type="noConversion"/>
  </si>
  <si>
    <t>IATU</t>
    <phoneticPr fontId="22" type="noConversion"/>
  </si>
  <si>
    <t>RMDR</t>
    <phoneticPr fontId="22" type="noConversion"/>
  </si>
  <si>
    <t>ABB</t>
    <phoneticPr fontId="6" type="noConversion"/>
  </si>
  <si>
    <t>제조업</t>
    <phoneticPr fontId="6" type="noConversion"/>
  </si>
  <si>
    <t>팩스번호</t>
    <phoneticPr fontId="6" type="noConversion"/>
  </si>
  <si>
    <t>HSE</t>
    <phoneticPr fontId="6" type="noConversion"/>
  </si>
  <si>
    <t xml:space="preserve">대표자 성명 : _____________________( 서명 )       </t>
  </si>
  <si>
    <t>평가점수</t>
  </si>
  <si>
    <t>계약 내용</t>
  </si>
  <si>
    <t>부품 조립 등</t>
  </si>
  <si>
    <t>HSE 협력업체 평가표
(Contractor Qaulification Sheet)</t>
  </si>
  <si>
    <t>홍길돌</t>
  </si>
  <si>
    <t>길동상사</t>
  </si>
  <si>
    <t>010-1234-5678</t>
  </si>
  <si>
    <t>날짜:</t>
  </si>
  <si>
    <t>사본 제출</t>
  </si>
  <si>
    <t>귀사는 산업재해예방 활동에 대한 이행계획이 절적히 수립되었습니까?</t>
  </si>
  <si>
    <t>귀사는 안전보건관련하여 시스템 인증이 있습니까? 
또는 위험성 평가 인정을 받았습니까? 
* 100인 이상 : OHSAS/KOSHA 18001
* 100인 미만 : 위험성평가 인정</t>
  </si>
  <si>
    <t>[안전보건방침]</t>
  </si>
  <si>
    <t>귀사의 안전보건절차서에 비상시 대피 및 피해 최소화 대책히 포함되어 있습니까?</t>
  </si>
  <si>
    <t>귀사는 안전보건방침(안전보건절차서, 매뉴얼 등)이 수립되어 있습니까?</t>
  </si>
  <si>
    <t>귀사는 안전보건교육 계획을 수립하고 이행하고 있습니까?</t>
  </si>
  <si>
    <t>귀사는 작업 전 위험예지활동 또는 TBM 실행을 위한 절차가 있습니까?</t>
  </si>
  <si>
    <t>3. 향후 1년이내에 계획이 없음</t>
  </si>
  <si>
    <t>2. 아직 없지만 1년 이내 받을 계획</t>
  </si>
  <si>
    <t>1. 인증을 보유</t>
  </si>
  <si>
    <t>귀사의 안전보건절차서에 유해위험물질 및 취급 기계,기구, 설비의 안정성 확인에 대한 매뉴얼이 적절히 수립되어 있습니까?</t>
    <phoneticPr fontId="6" type="noConversion"/>
  </si>
  <si>
    <t>귀사의 안전보건절차서에 비상 시 및 사고발생 시 신호 및 연락체계가 수립되어 있습니까?</t>
    <phoneticPr fontId="6" type="noConversion"/>
  </si>
  <si>
    <t>귀사는 유해위험작업에 대해 작업허가서를 이행하고 있습니까?</t>
    <phoneticPr fontId="6" type="noConversion"/>
  </si>
  <si>
    <t>귀사는 유해위험작업에 대해 위험성평가를 적절하게 시행하고 그 대책에 대해 이행을 하고 있습니까?</t>
    <phoneticPr fontId="6" type="noConversion"/>
  </si>
  <si>
    <t>귀사는 안전보건방침(안전보건관리체계 등) 이행계획 추진을 위한 역할이 분담되어 있습니까?</t>
    <phoneticPr fontId="6" type="noConversion"/>
  </si>
  <si>
    <t>적격 수급업체 기준: 70점 이상</t>
    <phoneticPr fontId="6" type="noConversion"/>
  </si>
  <si>
    <t>해당 없을 경우 내용 기입</t>
    <phoneticPr fontId="6" type="noConversion"/>
  </si>
  <si>
    <t>사본제출</t>
  </si>
  <si>
    <t>안전보건공단 
산업재해율 제출</t>
    <phoneticPr fontId="6" type="noConversion"/>
  </si>
  <si>
    <t>거래 / 작업 예상 빈도(년)</t>
    <phoneticPr fontId="6" type="noConversion"/>
  </si>
  <si>
    <t>ABB Div.</t>
    <phoneticPr fontId="22" type="noConversion"/>
  </si>
  <si>
    <t>대표자 성명</t>
    <phoneticPr fontId="6" type="noConversion"/>
  </si>
  <si>
    <t>이메일</t>
    <phoneticPr fontId="6"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</si>
</sst>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3">
    <numFmt numFmtId="176" formatCode="_-&quot;₩&quot;* #,##0_-;\-&quot;₩&quot;* #,##0_-;_-&quot;₩&quot;* &quot;-&quot;_-;_-@_-"/>
    <numFmt numFmtId="177" formatCode="_-* #,##0_-;\-* #,##0_-;_-* &quot;-&quot;_-;_-@_-"/>
    <numFmt numFmtId="178" formatCode="mm&quot;월&quot;\ dd&quot;일&quot;"/>
    <numFmt numFmtId="179" formatCode="0.00_ "/>
    <numFmt numFmtId="180" formatCode="#,##0_ "/>
    <numFmt numFmtId="181" formatCode="_ &quot;₩&quot;* #,##0_ ;_ &quot;₩&quot;* \-#,##0_ ;_ &quot;₩&quot;* &quot;-&quot;_ ;_ @_ "/>
    <numFmt numFmtId="182" formatCode="&quot;₩&quot;#,##0.00;[Red]&quot;₩&quot;\-#,##0.00"/>
    <numFmt numFmtId="183" formatCode="_ &quot;₩&quot;* #,##0.00_ ;_ &quot;₩&quot;* \-#,##0.00_ ;_ &quot;₩&quot;* &quot;-&quot;??_ ;_ @_ "/>
    <numFmt numFmtId="184" formatCode="&quot;₩&quot;#,##0;[Red]&quot;₩&quot;\-#,##0"/>
    <numFmt numFmtId="185" formatCode="_ * #,##0_ ;_ * \-#,##0_ ;_ * &quot;-&quot;_ ;_ @_ "/>
    <numFmt numFmtId="186" formatCode="#,##0;[Red]&quot;-&quot;#,##0"/>
    <numFmt numFmtId="187" formatCode="_ * #,##0.00_ ;_ * \-#,##0.00_ ;_ * &quot;-&quot;??_ ;_ @_ "/>
    <numFmt numFmtId="188" formatCode="_ * #,##0.0_ ;_ * \-#,##0.0_ ;_ * &quot;-&quot;_ ;_ @_ "/>
    <numFmt numFmtId="189" formatCode="\(#,##0\)"/>
    <numFmt numFmtId="190" formatCode="0.000%"/>
    <numFmt numFmtId="191" formatCode="_ * #,##0_ ;_ * &quot;₩&quot;&quot;₩&quot;&quot;₩&quot;&quot;₩&quot;&quot;₩&quot;&quot;₩&quot;&quot;₩&quot;&quot;₩&quot;&quot;₩&quot;&quot;₩&quot;\-#,##0_ ;_ * &quot;-&quot;_ ;_ @_ "/>
    <numFmt numFmtId="192" formatCode="_ &quot;₩&quot;* #,##0.00_ ;_ &quot;₩&quot;* &quot;₩&quot;&quot;₩&quot;&quot;₩&quot;&quot;₩&quot;&quot;₩&quot;&quot;₩&quot;&quot;₩&quot;&quot;₩&quot;&quot;₩&quot;&quot;₩&quot;\-#,##0.00_ ;_ &quot;₩&quot;* &quot;-&quot;??_ ;_ @_ "/>
    <numFmt numFmtId="193" formatCode="_ * #,##0.00_ ;_ * &quot;₩&quot;&quot;₩&quot;&quot;₩&quot;&quot;₩&quot;&quot;₩&quot;&quot;₩&quot;&quot;₩&quot;\-#,##0.00_ ;_ * &quot;-&quot;??_ ;_ @_ "/>
    <numFmt numFmtId="194" formatCode="&quot;₩&quot;#,##0;[Red]&quot;₩&quot;&quot;₩&quot;&quot;₩&quot;&quot;₩&quot;&quot;₩&quot;&quot;₩&quot;&quot;₩&quot;&quot;₩&quot;&quot;₩&quot;\-#,##0"/>
    <numFmt numFmtId="195" formatCode="#,##0.0"/>
    <numFmt numFmtId="196" formatCode="0.0"/>
    <numFmt numFmtId="197" formatCode="0_);[Red]\(0\)"/>
    <numFmt numFmtId="198" formatCode="&quot;010-&quot;@"/>
  </numFmts>
  <fonts count="111">
    <font>
      <sz val="11"/>
      <name val="돋움"/>
      <family val="3"/>
      <charset val="129"/>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name val="돋움"/>
      <family val="3"/>
      <charset val="129"/>
    </font>
    <font>
      <sz val="8"/>
      <name val="돋움"/>
      <family val="3"/>
      <charset val="129"/>
    </font>
    <font>
      <sz val="10"/>
      <name val="Arial"/>
      <family val="2"/>
    </font>
    <font>
      <b/>
      <sz val="11"/>
      <name val="Trebuchet MS"/>
      <family val="2"/>
    </font>
    <font>
      <sz val="11"/>
      <name val="Trebuchet MS"/>
      <family val="2"/>
    </font>
    <font>
      <b/>
      <sz val="11"/>
      <color indexed="9"/>
      <name val="Trebuchet MS"/>
      <family val="2"/>
    </font>
    <font>
      <sz val="10"/>
      <name val="Trebuchet MS"/>
      <family val="2"/>
    </font>
    <font>
      <b/>
      <sz val="14"/>
      <color indexed="63"/>
      <name val="Trebuchet MS"/>
      <family val="2"/>
    </font>
    <font>
      <sz val="8"/>
      <name val="Arial"/>
      <family val="2"/>
    </font>
    <font>
      <b/>
      <sz val="8"/>
      <color indexed="9"/>
      <name val="Trebuchet MS"/>
      <family val="2"/>
    </font>
    <font>
      <b/>
      <u/>
      <sz val="10"/>
      <name val="Trebuchet MS"/>
      <family val="2"/>
    </font>
    <font>
      <b/>
      <i/>
      <sz val="11"/>
      <name val="Trebuchet MS"/>
      <family val="2"/>
    </font>
    <font>
      <sz val="9"/>
      <name val="Trebuchet MS"/>
      <family val="2"/>
    </font>
    <font>
      <sz val="11"/>
      <color indexed="9"/>
      <name val="Trebuchet MS"/>
      <family val="2"/>
    </font>
    <font>
      <sz val="10"/>
      <name val="돋움"/>
      <family val="3"/>
      <charset val="129"/>
    </font>
    <font>
      <b/>
      <u/>
      <sz val="10"/>
      <name val="돋움"/>
      <family val="3"/>
      <charset val="129"/>
    </font>
    <font>
      <b/>
      <sz val="11"/>
      <name val="돋움"/>
      <family val="3"/>
      <charset val="129"/>
    </font>
    <font>
      <sz val="8"/>
      <name val="맑은 고딕"/>
      <family val="2"/>
      <charset val="129"/>
      <scheme val="minor"/>
    </font>
    <font>
      <sz val="14"/>
      <color theme="1"/>
      <name val="맑은 고딕"/>
      <family val="2"/>
      <charset val="129"/>
      <scheme val="minor"/>
    </font>
    <font>
      <sz val="11"/>
      <color theme="1"/>
      <name val="맑은 고딕"/>
      <family val="3"/>
      <charset val="129"/>
      <scheme val="minor"/>
    </font>
    <font>
      <sz val="11"/>
      <color theme="1"/>
      <name val="맑은 고딕"/>
      <family val="3"/>
      <charset val="129"/>
    </font>
    <font>
      <sz val="11"/>
      <color theme="1"/>
      <name val="Trebuchet MS"/>
      <family val="2"/>
    </font>
    <font>
      <sz val="11"/>
      <color theme="1"/>
      <name val="돋움"/>
      <family val="3"/>
      <charset val="129"/>
    </font>
    <font>
      <b/>
      <sz val="14"/>
      <color theme="1"/>
      <name val="맑은 고딕"/>
      <family val="3"/>
      <charset val="129"/>
      <scheme val="minor"/>
    </font>
    <font>
      <b/>
      <sz val="10"/>
      <name val="Trebuchet MS"/>
      <family val="2"/>
    </font>
    <font>
      <sz val="11"/>
      <color indexed="8"/>
      <name val="Trebuchet MS"/>
      <family val="2"/>
    </font>
    <font>
      <sz val="11"/>
      <color indexed="8"/>
      <name val="돋움"/>
      <family val="3"/>
      <charset val="129"/>
    </font>
    <font>
      <b/>
      <sz val="12"/>
      <color indexed="9"/>
      <name val="Trebuchet MS"/>
      <family val="2"/>
    </font>
    <font>
      <b/>
      <sz val="14"/>
      <color indexed="9"/>
      <name val="Trebuchet MS"/>
      <family val="2"/>
    </font>
    <font>
      <sz val="14"/>
      <name val="Trebuchet MS"/>
      <family val="2"/>
    </font>
    <font>
      <b/>
      <sz val="10"/>
      <name val="돋움"/>
      <family val="3"/>
      <charset val="129"/>
    </font>
    <font>
      <b/>
      <sz val="16"/>
      <color indexed="12"/>
      <name val="Arial Black"/>
      <family val="2"/>
    </font>
    <font>
      <sz val="8"/>
      <name val="굴림체"/>
      <family val="3"/>
      <charset val="129"/>
    </font>
    <font>
      <sz val="11"/>
      <name val="굴림체"/>
      <family val="3"/>
      <charset val="129"/>
    </font>
    <font>
      <b/>
      <i/>
      <sz val="10"/>
      <color indexed="12"/>
      <name val="Arial"/>
      <family val="2"/>
    </font>
    <font>
      <b/>
      <sz val="16"/>
      <color indexed="63"/>
      <name val="Trebuchet MS"/>
      <family val="2"/>
    </font>
    <font>
      <b/>
      <sz val="30"/>
      <color theme="1" tint="0.249977111117893"/>
      <name val="Times New Roman"/>
      <family val="1"/>
    </font>
    <font>
      <sz val="12"/>
      <name val="바탕체"/>
      <family val="1"/>
      <charset val="129"/>
    </font>
    <font>
      <sz val="12"/>
      <name val="Times New Roman"/>
      <family val="1"/>
    </font>
    <font>
      <sz val="12"/>
      <name val="¹ÙÅÁÃ¼"/>
      <family val="1"/>
      <charset val="129"/>
    </font>
    <font>
      <sz val="11"/>
      <color indexed="8"/>
      <name val="맑은 고딕"/>
      <family val="3"/>
    </font>
    <font>
      <sz val="11"/>
      <color indexed="9"/>
      <name val="맑은 고딕"/>
      <family val="3"/>
    </font>
    <font>
      <sz val="12"/>
      <name val="¨IoUAAA¡§u"/>
      <family val="1"/>
      <charset val="129"/>
    </font>
    <font>
      <sz val="12"/>
      <name val="ⓒoUAAA¨u"/>
      <family val="1"/>
      <charset val="129"/>
    </font>
    <font>
      <sz val="12"/>
      <name val="¹UAAA¼"/>
      <family val="3"/>
      <charset val="129"/>
    </font>
    <font>
      <sz val="10"/>
      <name val="MS Sans Serif"/>
      <family val="2"/>
    </font>
    <font>
      <sz val="11"/>
      <name val="µ¸¿ò"/>
      <family val="3"/>
      <charset val="129"/>
    </font>
    <font>
      <sz val="12"/>
      <name val="µ¸¿òÃ¼"/>
      <family val="3"/>
      <charset val="129"/>
    </font>
    <font>
      <sz val="12"/>
      <name val="μ¸¿oA¼"/>
      <family val="3"/>
      <charset val="129"/>
    </font>
    <font>
      <sz val="11"/>
      <color indexed="20"/>
      <name val="맑은 고딕"/>
      <family val="3"/>
    </font>
    <font>
      <sz val="12"/>
      <name val="System"/>
      <family val="2"/>
      <charset val="129"/>
    </font>
    <font>
      <sz val="11"/>
      <name val="µ¸¿òÃ¼"/>
      <family val="3"/>
      <charset val="129"/>
    </font>
    <font>
      <sz val="12"/>
      <name val="¹UAAA¼"/>
      <family val="3"/>
    </font>
    <font>
      <sz val="12"/>
      <name val="¹ÙÅÁÃ¼"/>
      <family val="1"/>
    </font>
    <font>
      <sz val="11"/>
      <name val="μ¸¿o"/>
      <family val="3"/>
      <charset val="129"/>
    </font>
    <font>
      <sz val="10"/>
      <name val="±¼¸²Ã¼"/>
      <family val="3"/>
      <charset val="129"/>
    </font>
    <font>
      <sz val="10"/>
      <name val="±¼¸²A¼"/>
      <family val="3"/>
      <charset val="129"/>
    </font>
    <font>
      <b/>
      <sz val="11"/>
      <color indexed="52"/>
      <name val="맑은 고딕"/>
      <family val="3"/>
    </font>
    <font>
      <b/>
      <sz val="11"/>
      <color indexed="9"/>
      <name val="맑은 고딕"/>
      <family val="3"/>
    </font>
    <font>
      <i/>
      <sz val="11"/>
      <color indexed="23"/>
      <name val="맑은 고딕"/>
      <family val="3"/>
    </font>
    <font>
      <u/>
      <sz val="10"/>
      <color indexed="36"/>
      <name val="Arial"/>
      <family val="2"/>
    </font>
    <font>
      <sz val="11"/>
      <color indexed="17"/>
      <name val="맑은 고딕"/>
      <family val="3"/>
    </font>
    <font>
      <b/>
      <sz val="12"/>
      <name val="Arial"/>
      <family val="2"/>
    </font>
    <font>
      <b/>
      <sz val="15"/>
      <color indexed="56"/>
      <name val="맑은 고딕"/>
      <family val="3"/>
    </font>
    <font>
      <b/>
      <sz val="13"/>
      <color indexed="56"/>
      <name val="맑은 고딕"/>
      <family val="3"/>
    </font>
    <font>
      <b/>
      <sz val="11"/>
      <color indexed="56"/>
      <name val="맑은 고딕"/>
      <family val="3"/>
    </font>
    <font>
      <u/>
      <sz val="10"/>
      <color indexed="12"/>
      <name val="Arial"/>
      <family val="2"/>
    </font>
    <font>
      <sz val="11"/>
      <color indexed="62"/>
      <name val="맑은 고딕"/>
      <family val="3"/>
    </font>
    <font>
      <sz val="11"/>
      <color indexed="52"/>
      <name val="맑은 고딕"/>
      <family val="3"/>
    </font>
    <font>
      <sz val="11"/>
      <color indexed="60"/>
      <name val="맑은 고딕"/>
      <family val="3"/>
    </font>
    <font>
      <b/>
      <sz val="11"/>
      <color indexed="63"/>
      <name val="맑은 고딕"/>
      <family val="3"/>
    </font>
    <font>
      <b/>
      <sz val="10"/>
      <name val="MS Sans Serif"/>
      <family val="2"/>
    </font>
    <font>
      <b/>
      <sz val="18"/>
      <color indexed="56"/>
      <name val="맑은 고딕"/>
      <family val="3"/>
    </font>
    <font>
      <b/>
      <sz val="11"/>
      <color indexed="8"/>
      <name val="맑은 고딕"/>
      <family val="3"/>
    </font>
    <font>
      <sz val="11"/>
      <color indexed="10"/>
      <name val="맑은 고딕"/>
      <family val="3"/>
    </font>
    <font>
      <u/>
      <sz val="11"/>
      <color indexed="20"/>
      <name val="돋움"/>
      <family val="3"/>
      <charset val="129"/>
    </font>
    <font>
      <sz val="14"/>
      <name val="뼻뮝"/>
      <family val="3"/>
      <charset val="129"/>
    </font>
    <font>
      <sz val="11"/>
      <name val="뼻뮝"/>
      <family val="3"/>
      <charset val="129"/>
    </font>
    <font>
      <sz val="11"/>
      <color indexed="8"/>
      <name val="맑은 고딕"/>
      <family val="3"/>
      <charset val="129"/>
    </font>
    <font>
      <sz val="11"/>
      <color theme="0"/>
      <name val="Trebuchet MS"/>
      <family val="2"/>
    </font>
    <font>
      <b/>
      <i/>
      <sz val="11"/>
      <color theme="1"/>
      <name val="Trebuchet MS"/>
      <family val="2"/>
    </font>
    <font>
      <b/>
      <sz val="11"/>
      <color theme="1"/>
      <name val="Trebuchet MS"/>
      <family val="2"/>
    </font>
    <font>
      <sz val="14"/>
      <color theme="1"/>
      <name val="Trebuchet MS"/>
      <family val="2"/>
    </font>
    <font>
      <sz val="11"/>
      <color theme="0"/>
      <name val="맑은 고딕"/>
      <family val="2"/>
      <charset val="129"/>
    </font>
    <font>
      <sz val="11"/>
      <color theme="0"/>
      <name val="맑은 고딕"/>
      <family val="3"/>
      <charset val="129"/>
    </font>
    <font>
      <sz val="11"/>
      <color theme="1"/>
      <name val="맑은 고딕"/>
      <family val="2"/>
      <charset val="129"/>
    </font>
    <font>
      <b/>
      <sz val="12"/>
      <color rgb="FF0070C0"/>
      <name val="Trebuchet MS"/>
      <family val="2"/>
    </font>
    <font>
      <b/>
      <sz val="11"/>
      <color theme="1"/>
      <name val="ABBvoice"/>
      <family val="2"/>
    </font>
    <font>
      <sz val="11"/>
      <color theme="1"/>
      <name val="ABBvoice"/>
      <family val="2"/>
    </font>
    <font>
      <b/>
      <sz val="11"/>
      <name val="ABBvoice KR"/>
      <family val="3"/>
      <charset val="129"/>
    </font>
    <font>
      <sz val="11"/>
      <name val="ABBvoice KR"/>
      <family val="3"/>
      <charset val="129"/>
    </font>
    <font>
      <u/>
      <sz val="11"/>
      <color theme="10"/>
      <name val="맑은 고딕"/>
      <family val="2"/>
      <charset val="129"/>
      <scheme val="minor"/>
    </font>
    <font>
      <sz val="11"/>
      <color theme="1"/>
      <name val="ABBvoice KR"/>
      <family val="3"/>
      <charset val="129"/>
    </font>
    <font>
      <sz val="12"/>
      <color indexed="8"/>
      <name val="굴림"/>
      <family val="3"/>
      <charset val="129"/>
    </font>
    <font>
      <sz val="11"/>
      <color indexed="8"/>
      <name val="ABBvoice KR"/>
      <family val="3"/>
      <charset val="129"/>
    </font>
    <font>
      <sz val="11"/>
      <color rgb="FF000000"/>
      <name val="ABBvoice KR"/>
      <family val="3"/>
      <charset val="129"/>
    </font>
    <font>
      <sz val="48"/>
      <color rgb="FFFF0000"/>
      <name val="ABB Logo"/>
      <charset val="2"/>
    </font>
    <font>
      <b/>
      <sz val="36"/>
      <color rgb="FFFF0000"/>
      <name val="ABBvoice KR"/>
      <family val="3"/>
      <charset val="129"/>
    </font>
    <font>
      <b/>
      <sz val="15"/>
      <name val="ABBvoice KR"/>
      <family val="3"/>
      <charset val="129"/>
    </font>
    <font>
      <b/>
      <sz val="11"/>
      <color theme="0"/>
      <name val="ABBvoice KR"/>
      <family val="3"/>
      <charset val="129"/>
    </font>
    <font>
      <b/>
      <sz val="11"/>
      <color theme="1"/>
      <name val="ABBvoice KR"/>
      <family val="3"/>
      <charset val="129"/>
    </font>
    <font>
      <sz val="11"/>
      <color rgb="FFFF0000"/>
      <name val="ABBvoice KR"/>
      <family val="3"/>
      <charset val="129"/>
    </font>
    <font>
      <u/>
      <sz val="10"/>
      <color indexed="12"/>
      <name val="ABBvoice KR"/>
      <family val="3"/>
      <charset val="129"/>
    </font>
    <font>
      <sz val="11"/>
      <color theme="0"/>
      <name val="ABBvoice KR"/>
      <family val="3"/>
      <charset val="129"/>
    </font>
    <font>
      <b/>
      <sz val="11"/>
      <color rgb="FFFF0000"/>
      <name val="ABBvoice KR"/>
      <family val="3"/>
      <charset val="129"/>
    </font>
    <font>
      <sz val="10"/>
      <color theme="1"/>
      <name val="ABBvoice KR"/>
      <family val="3"/>
      <charset val="129"/>
    </font>
  </fonts>
  <fills count="38">
    <fill>
      <patternFill patternType="none"/>
    </fill>
    <fill>
      <patternFill patternType="gray125"/>
    </fill>
    <fill>
      <patternFill patternType="solid">
        <fgColor indexed="9"/>
        <bgColor indexed="64"/>
      </patternFill>
    </fill>
    <fill>
      <patternFill patternType="solid">
        <fgColor indexed="19"/>
        <bgColor indexed="64"/>
      </patternFill>
    </fill>
    <fill>
      <patternFill patternType="solid">
        <fgColor indexed="54"/>
        <bgColor indexed="64"/>
      </patternFill>
    </fill>
    <fill>
      <patternFill patternType="solid">
        <fgColor indexed="44"/>
        <bgColor indexed="64"/>
      </patternFill>
    </fill>
    <fill>
      <patternFill patternType="solid">
        <fgColor indexed="22"/>
        <bgColor indexed="64"/>
      </patternFill>
    </fill>
    <fill>
      <patternFill patternType="solid">
        <fgColor theme="1" tint="0.249977111117893"/>
        <bgColor indexed="64"/>
      </patternFill>
    </fill>
    <fill>
      <patternFill patternType="solid">
        <fgColor theme="0"/>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theme="7" tint="-0.249977111117893"/>
        <bgColor indexed="64"/>
      </patternFill>
    </fill>
    <fill>
      <patternFill patternType="solid">
        <fgColor theme="9" tint="-0.249977111117893"/>
        <bgColor indexed="64"/>
      </patternFill>
    </fill>
    <fill>
      <patternFill patternType="solid">
        <fgColor theme="4" tint="-0.249977111117893"/>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26"/>
        <bgColor indexed="64"/>
      </patternFill>
    </fill>
    <fill>
      <patternFill patternType="solid">
        <fgColor indexed="43"/>
      </patternFill>
    </fill>
    <fill>
      <patternFill patternType="solid">
        <fgColor indexed="26"/>
      </patternFill>
    </fill>
    <fill>
      <patternFill patternType="mediumGray">
        <fgColor indexed="22"/>
      </patternFill>
    </fill>
  </fills>
  <borders count="160">
    <border>
      <left/>
      <right/>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thin">
        <color indexed="64"/>
      </right>
      <top style="medium">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style="medium">
        <color indexed="64"/>
      </bottom>
      <diagonal/>
    </border>
    <border>
      <left style="medium">
        <color indexed="64"/>
      </left>
      <right/>
      <top style="medium">
        <color indexed="64"/>
      </top>
      <bottom/>
      <diagonal/>
    </border>
    <border>
      <left/>
      <right/>
      <top style="medium">
        <color indexed="64"/>
      </top>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hair">
        <color indexed="64"/>
      </left>
      <right style="hair">
        <color indexed="64"/>
      </right>
      <top style="hair">
        <color indexed="64"/>
      </top>
      <bottom style="hair">
        <color indexed="64"/>
      </bottom>
      <diagonal/>
    </border>
    <border>
      <left style="thin">
        <color indexed="64"/>
      </left>
      <right style="medium">
        <color indexed="64"/>
      </right>
      <top style="medium">
        <color indexed="64"/>
      </top>
      <bottom style="hair">
        <color indexed="64"/>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style="medium">
        <color indexed="64"/>
      </right>
      <top style="hair">
        <color indexed="64"/>
      </top>
      <bottom style="hair">
        <color indexed="64"/>
      </bottom>
      <diagonal/>
    </border>
    <border>
      <left style="thin">
        <color indexed="64"/>
      </left>
      <right style="medium">
        <color indexed="64"/>
      </right>
      <top style="hair">
        <color indexed="64"/>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hair">
        <color indexed="64"/>
      </right>
      <top style="hair">
        <color indexed="64"/>
      </top>
      <bottom style="hair">
        <color indexed="64"/>
      </bottom>
      <diagonal/>
    </border>
    <border>
      <left style="thin">
        <color indexed="64"/>
      </left>
      <right style="medium">
        <color indexed="64"/>
      </right>
      <top style="thin">
        <color indexed="64"/>
      </top>
      <bottom style="hair">
        <color indexed="64"/>
      </bottom>
      <diagonal/>
    </border>
    <border>
      <left style="thin">
        <color indexed="64"/>
      </left>
      <right style="medium">
        <color indexed="64"/>
      </right>
      <top style="hair">
        <color indexed="64"/>
      </top>
      <bottom style="thin">
        <color indexed="64"/>
      </bottom>
      <diagonal/>
    </border>
    <border>
      <left/>
      <right/>
      <top style="medium">
        <color indexed="64"/>
      </top>
      <bottom style="medium">
        <color indexed="64"/>
      </bottom>
      <diagonal/>
    </border>
    <border>
      <left/>
      <right style="medium">
        <color indexed="64"/>
      </right>
      <top style="thin">
        <color indexed="64"/>
      </top>
      <bottom style="thin">
        <color indexed="64"/>
      </bottom>
      <diagonal/>
    </border>
    <border>
      <left/>
      <right style="thin">
        <color indexed="64"/>
      </right>
      <top/>
      <bottom/>
      <diagonal/>
    </border>
    <border>
      <left/>
      <right/>
      <top/>
      <bottom style="medium">
        <color indexed="64"/>
      </bottom>
      <diagonal/>
    </border>
    <border>
      <left/>
      <right style="thin">
        <color indexed="64"/>
      </right>
      <top style="medium">
        <color indexed="64"/>
      </top>
      <bottom style="thin">
        <color indexed="64"/>
      </bottom>
      <diagonal/>
    </border>
    <border>
      <left style="thin">
        <color indexed="64"/>
      </left>
      <right style="thin">
        <color indexed="64"/>
      </right>
      <top/>
      <bottom style="hair">
        <color indexed="64"/>
      </bottom>
      <diagonal/>
    </border>
    <border>
      <left style="medium">
        <color indexed="64"/>
      </left>
      <right style="thin">
        <color theme="0"/>
      </right>
      <top style="medium">
        <color indexed="64"/>
      </top>
      <bottom style="thin">
        <color theme="0"/>
      </bottom>
      <diagonal/>
    </border>
    <border>
      <left style="thin">
        <color theme="0"/>
      </left>
      <right style="thin">
        <color theme="0"/>
      </right>
      <top style="medium">
        <color indexed="64"/>
      </top>
      <bottom style="thin">
        <color theme="0"/>
      </bottom>
      <diagonal/>
    </border>
    <border>
      <left style="thin">
        <color theme="0"/>
      </left>
      <right style="medium">
        <color indexed="64"/>
      </right>
      <top style="medium">
        <color indexed="64"/>
      </top>
      <bottom style="thin">
        <color theme="0"/>
      </bottom>
      <diagonal/>
    </border>
    <border>
      <left style="medium">
        <color indexed="64"/>
      </left>
      <right style="thin">
        <color theme="0"/>
      </right>
      <top style="thin">
        <color theme="0"/>
      </top>
      <bottom style="thin">
        <color indexed="64"/>
      </bottom>
      <diagonal/>
    </border>
    <border>
      <left style="thin">
        <color theme="0"/>
      </left>
      <right style="thin">
        <color theme="0"/>
      </right>
      <top style="thin">
        <color theme="0"/>
      </top>
      <bottom style="thin">
        <color indexed="64"/>
      </bottom>
      <diagonal/>
    </border>
    <border>
      <left style="thin">
        <color theme="0"/>
      </left>
      <right style="medium">
        <color indexed="64"/>
      </right>
      <top style="thin">
        <color theme="0"/>
      </top>
      <bottom style="thin">
        <color indexed="64"/>
      </bottom>
      <diagonal/>
    </border>
    <border>
      <left style="thin">
        <color indexed="64"/>
      </left>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style="hair">
        <color indexed="64"/>
      </left>
      <right style="thin">
        <color indexed="64"/>
      </right>
      <top style="hair">
        <color indexed="64"/>
      </top>
      <bottom style="hair">
        <color indexed="64"/>
      </bottom>
      <diagonal/>
    </border>
    <border>
      <left style="thin">
        <color theme="0"/>
      </left>
      <right style="thin">
        <color theme="0"/>
      </right>
      <top style="medium">
        <color indexed="64"/>
      </top>
      <bottom/>
      <diagonal/>
    </border>
    <border>
      <left style="thin">
        <color theme="0"/>
      </left>
      <right style="thin">
        <color theme="0"/>
      </right>
      <top/>
      <bottom style="thin">
        <color indexed="64"/>
      </bottom>
      <diagonal/>
    </border>
    <border>
      <left style="thin">
        <color indexed="64"/>
      </left>
      <right style="hair">
        <color indexed="64"/>
      </right>
      <top/>
      <bottom style="hair">
        <color indexed="64"/>
      </bottom>
      <diagonal/>
    </border>
    <border>
      <left style="thin">
        <color indexed="64"/>
      </left>
      <right/>
      <top/>
      <bottom style="hair">
        <color indexed="64"/>
      </bottom>
      <diagonal/>
    </border>
    <border>
      <left/>
      <right style="thin">
        <color indexed="64"/>
      </right>
      <top/>
      <bottom style="hair">
        <color indexed="64"/>
      </bottom>
      <diagonal/>
    </border>
    <border>
      <left/>
      <right style="thin">
        <color indexed="64"/>
      </right>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style="hair">
        <color indexed="64"/>
      </right>
      <top style="hair">
        <color indexed="64"/>
      </top>
      <bottom style="thin">
        <color indexed="64"/>
      </bottom>
      <diagonal/>
    </border>
    <border>
      <left style="thin">
        <color indexed="64"/>
      </left>
      <right style="medium">
        <color indexed="64"/>
      </right>
      <top/>
      <bottom style="hair">
        <color indexed="64"/>
      </bottom>
      <diagonal/>
    </border>
    <border>
      <left/>
      <right/>
      <top/>
      <bottom style="hair">
        <color indexed="64"/>
      </bottom>
      <diagonal/>
    </border>
    <border>
      <left/>
      <right/>
      <top/>
      <bottom style="thin">
        <color indexed="64"/>
      </bottom>
      <diagonal/>
    </border>
    <border>
      <left style="hair">
        <color indexed="64"/>
      </left>
      <right style="hair">
        <color indexed="64"/>
      </right>
      <top/>
      <bottom style="hair">
        <color indexed="64"/>
      </bottom>
      <diagonal/>
    </border>
    <border>
      <left/>
      <right/>
      <top style="hair">
        <color indexed="64"/>
      </top>
      <bottom style="hair">
        <color indexed="64"/>
      </bottom>
      <diagonal/>
    </border>
    <border>
      <left style="thin">
        <color indexed="64"/>
      </left>
      <right/>
      <top style="hair">
        <color indexed="64"/>
      </top>
      <bottom style="thin">
        <color indexed="64"/>
      </bottom>
      <diagonal/>
    </border>
    <border>
      <left style="thin">
        <color indexed="64"/>
      </left>
      <right style="thin">
        <color indexed="64"/>
      </right>
      <top/>
      <bottom style="thin">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right style="hair">
        <color indexed="64"/>
      </right>
      <top style="hair">
        <color indexed="64"/>
      </top>
      <bottom style="hair">
        <color indexed="64"/>
      </bottom>
      <diagonal/>
    </border>
    <border>
      <left style="hair">
        <color indexed="64"/>
      </left>
      <right style="thin">
        <color indexed="64"/>
      </right>
      <top/>
      <bottom style="hair">
        <color indexed="64"/>
      </bottom>
      <diagonal/>
    </border>
    <border>
      <left/>
      <right style="thin">
        <color indexed="64"/>
      </right>
      <top style="hair">
        <color indexed="64"/>
      </top>
      <bottom style="thin">
        <color indexed="64"/>
      </bottom>
      <diagonal/>
    </border>
    <border>
      <left style="medium">
        <color indexed="64"/>
      </left>
      <right style="thin">
        <color indexed="64"/>
      </right>
      <top style="thin">
        <color indexed="64"/>
      </top>
      <bottom/>
      <diagonal/>
    </border>
    <border>
      <left style="medium">
        <color indexed="64"/>
      </left>
      <right/>
      <top style="thin">
        <color indexed="64"/>
      </top>
      <bottom/>
      <diagonal/>
    </border>
    <border>
      <left style="medium">
        <color indexed="64"/>
      </left>
      <right/>
      <top/>
      <bottom/>
      <diagonal/>
    </border>
    <border>
      <left style="medium">
        <color indexed="64"/>
      </left>
      <right/>
      <top/>
      <bottom style="thin">
        <color indexed="64"/>
      </bottom>
      <diagonal/>
    </border>
    <border>
      <left/>
      <right/>
      <top style="hair">
        <color indexed="64"/>
      </top>
      <bottom style="thin">
        <color indexed="64"/>
      </bottom>
      <diagonal/>
    </border>
    <border>
      <left/>
      <right style="medium">
        <color indexed="64"/>
      </right>
      <top/>
      <bottom style="hair">
        <color indexed="64"/>
      </bottom>
      <diagonal/>
    </border>
    <border>
      <left/>
      <right style="medium">
        <color indexed="64"/>
      </right>
      <top style="hair">
        <color indexed="64"/>
      </top>
      <bottom style="hair">
        <color indexed="64"/>
      </bottom>
      <diagonal/>
    </border>
    <border>
      <left/>
      <right style="medium">
        <color indexed="64"/>
      </right>
      <top style="hair">
        <color indexed="64"/>
      </top>
      <bottom style="thin">
        <color indexed="64"/>
      </bottom>
      <diagonal/>
    </border>
    <border>
      <left/>
      <right style="thin">
        <color indexed="64"/>
      </right>
      <top style="medium">
        <color indexed="64"/>
      </top>
      <bottom/>
      <diagonal/>
    </border>
    <border>
      <left style="thin">
        <color indexed="64"/>
      </left>
      <right/>
      <top/>
      <bottom style="thin">
        <color indexed="64"/>
      </bottom>
      <diagonal/>
    </border>
    <border>
      <left/>
      <right style="medium">
        <color indexed="64"/>
      </right>
      <top/>
      <bottom style="thin">
        <color indexed="64"/>
      </bottom>
      <diagonal/>
    </border>
    <border>
      <left/>
      <right style="thin">
        <color indexed="64"/>
      </right>
      <top style="thin">
        <color indexed="64"/>
      </top>
      <bottom style="hair">
        <color indexed="64"/>
      </bottom>
      <diagonal/>
    </border>
    <border>
      <left/>
      <right style="thin">
        <color indexed="64"/>
      </right>
      <top style="hair">
        <color indexed="64"/>
      </top>
      <bottom/>
      <diagonal/>
    </border>
    <border>
      <left/>
      <right style="medium">
        <color indexed="64"/>
      </right>
      <top style="thin">
        <color indexed="64"/>
      </top>
      <bottom/>
      <diagonal/>
    </border>
    <border>
      <left/>
      <right style="medium">
        <color indexed="64"/>
      </right>
      <top/>
      <bottom/>
      <diagonal/>
    </border>
    <border>
      <left/>
      <right style="medium">
        <color indexed="64"/>
      </right>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right/>
      <top style="thin">
        <color indexed="64"/>
      </top>
      <bottom style="hair">
        <color indexed="64"/>
      </bottom>
      <diagonal/>
    </border>
    <border>
      <left style="thin">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top style="hair">
        <color indexed="64"/>
      </top>
      <bottom style="thin">
        <color indexed="64"/>
      </bottom>
      <diagonal/>
    </border>
    <border>
      <left style="hair">
        <color indexed="64"/>
      </left>
      <right/>
      <top style="thin">
        <color indexed="64"/>
      </top>
      <bottom style="hair">
        <color indexed="64"/>
      </bottom>
      <diagonal/>
    </border>
    <border>
      <left/>
      <right style="hair">
        <color indexed="64"/>
      </right>
      <top style="thin">
        <color indexed="64"/>
      </top>
      <bottom style="hair">
        <color indexed="64"/>
      </bottom>
      <diagonal/>
    </border>
    <border>
      <left/>
      <right style="hair">
        <color indexed="64"/>
      </right>
      <top style="hair">
        <color indexed="64"/>
      </top>
      <bottom style="thin">
        <color indexed="64"/>
      </bottom>
      <diagonal/>
    </border>
    <border>
      <left style="thin">
        <color indexed="64"/>
      </left>
      <right style="hair">
        <color indexed="64"/>
      </right>
      <top style="hair">
        <color indexed="64"/>
      </top>
      <bottom/>
      <diagonal/>
    </border>
    <border>
      <left style="hair">
        <color indexed="64"/>
      </left>
      <right style="hair">
        <color indexed="64"/>
      </right>
      <top style="hair">
        <color indexed="64"/>
      </top>
      <bottom/>
      <diagonal/>
    </border>
    <border>
      <left style="thin">
        <color indexed="64"/>
      </left>
      <right style="hair">
        <color indexed="64"/>
      </right>
      <top/>
      <bottom/>
      <diagonal/>
    </border>
    <border>
      <left style="hair">
        <color indexed="64"/>
      </left>
      <right style="hair">
        <color indexed="64"/>
      </right>
      <top/>
      <bottom/>
      <diagonal/>
    </border>
    <border>
      <left style="hair">
        <color indexed="64"/>
      </left>
      <right/>
      <top/>
      <bottom/>
      <diagonal/>
    </border>
    <border>
      <left/>
      <right style="hair">
        <color indexed="64"/>
      </right>
      <top/>
      <bottom/>
      <diagonal/>
    </border>
    <border>
      <left style="hair">
        <color indexed="64"/>
      </left>
      <right/>
      <top/>
      <bottom style="hair">
        <color indexed="64"/>
      </bottom>
      <diagonal/>
    </border>
    <border>
      <left/>
      <right style="hair">
        <color indexed="64"/>
      </right>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style="thin">
        <color indexed="64"/>
      </left>
      <right style="hair">
        <color indexed="64"/>
      </right>
      <top/>
      <bottom style="thin">
        <color indexed="64"/>
      </bottom>
      <diagonal/>
    </border>
    <border>
      <left style="hair">
        <color indexed="64"/>
      </left>
      <right/>
      <top/>
      <bottom style="thin">
        <color indexed="64"/>
      </bottom>
      <diagonal/>
    </border>
    <border>
      <left/>
      <right style="hair">
        <color indexed="64"/>
      </right>
      <top/>
      <bottom style="thin">
        <color indexed="64"/>
      </bottom>
      <diagonal/>
    </border>
    <border>
      <left style="thin">
        <color indexed="64"/>
      </left>
      <right style="hair">
        <color indexed="64"/>
      </right>
      <top style="thin">
        <color indexed="64"/>
      </top>
      <bottom/>
      <diagonal/>
    </border>
    <border>
      <left style="hair">
        <color indexed="64"/>
      </left>
      <right style="hair">
        <color indexed="64"/>
      </right>
      <top style="thin">
        <color indexed="64"/>
      </top>
      <bottom/>
      <diagonal/>
    </border>
    <border>
      <left style="hair">
        <color indexed="64"/>
      </left>
      <right style="thin">
        <color indexed="64"/>
      </right>
      <top style="thin">
        <color indexed="64"/>
      </top>
      <bottom/>
      <diagonal/>
    </border>
    <border>
      <left style="thin">
        <color indexed="64"/>
      </left>
      <right style="medium">
        <color indexed="64"/>
      </right>
      <top/>
      <bottom style="medium">
        <color indexed="64"/>
      </bottom>
      <diagonal/>
    </border>
    <border>
      <left style="medium">
        <color indexed="64"/>
      </left>
      <right/>
      <top style="thin">
        <color indexed="64"/>
      </top>
      <bottom style="medium">
        <color indexed="64"/>
      </bottom>
      <diagonal/>
    </border>
    <border>
      <left style="thin">
        <color theme="0"/>
      </left>
      <right/>
      <top style="medium">
        <color indexed="64"/>
      </top>
      <bottom/>
      <diagonal/>
    </border>
    <border>
      <left/>
      <right style="thin">
        <color theme="0"/>
      </right>
      <top style="medium">
        <color indexed="64"/>
      </top>
      <bottom/>
      <diagonal/>
    </border>
    <border>
      <left style="thin">
        <color theme="0"/>
      </left>
      <right/>
      <top/>
      <bottom style="thin">
        <color indexed="64"/>
      </bottom>
      <diagonal/>
    </border>
    <border>
      <left/>
      <right style="thin">
        <color theme="0"/>
      </right>
      <top/>
      <bottom style="thin">
        <color indexed="64"/>
      </bottom>
      <diagonal/>
    </border>
    <border>
      <left style="medium">
        <color indexed="64"/>
      </left>
      <right style="thin">
        <color theme="0"/>
      </right>
      <top style="medium">
        <color indexed="64"/>
      </top>
      <bottom/>
      <diagonal/>
    </border>
    <border>
      <left style="medium">
        <color indexed="64"/>
      </left>
      <right style="thin">
        <color theme="0"/>
      </right>
      <top/>
      <bottom style="thin">
        <color indexed="64"/>
      </bottom>
      <diagonal/>
    </border>
    <border>
      <left/>
      <right style="medium">
        <color indexed="64"/>
      </right>
      <top style="thin">
        <color indexed="64"/>
      </top>
      <bottom style="medium">
        <color indexed="6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medium">
        <color indexed="64"/>
      </left>
      <right/>
      <top style="medium">
        <color indexed="64"/>
      </top>
      <bottom style="thin">
        <color indexed="64"/>
      </bottom>
      <diagonal/>
    </border>
    <border>
      <left style="medium">
        <color indexed="64"/>
      </left>
      <right style="hair">
        <color indexed="64"/>
      </right>
      <top style="thin">
        <color indexed="64"/>
      </top>
      <bottom style="hair">
        <color indexed="64"/>
      </bottom>
      <diagonal/>
    </border>
    <border>
      <left style="hair">
        <color indexed="64"/>
      </left>
      <right style="medium">
        <color indexed="64"/>
      </right>
      <top style="thin">
        <color indexed="64"/>
      </top>
      <bottom style="hair">
        <color indexed="64"/>
      </bottom>
      <diagonal/>
    </border>
    <border>
      <left style="medium">
        <color indexed="64"/>
      </left>
      <right style="hair">
        <color indexed="64"/>
      </right>
      <top style="hair">
        <color indexed="64"/>
      </top>
      <bottom/>
      <diagonal/>
    </border>
    <border>
      <left style="medium">
        <color indexed="64"/>
      </left>
      <right style="hair">
        <color indexed="64"/>
      </right>
      <top/>
      <bottom/>
      <diagonal/>
    </border>
    <border>
      <left style="medium">
        <color indexed="64"/>
      </left>
      <right style="hair">
        <color indexed="64"/>
      </right>
      <top/>
      <bottom style="hair">
        <color indexed="64"/>
      </bottom>
      <diagonal/>
    </border>
    <border>
      <left style="medium">
        <color indexed="64"/>
      </left>
      <right style="hair">
        <color indexed="64"/>
      </right>
      <top/>
      <bottom style="medium">
        <color indexed="64"/>
      </bottom>
      <diagonal/>
    </border>
    <border>
      <left style="hair">
        <color indexed="64"/>
      </left>
      <right/>
      <top/>
      <bottom style="medium">
        <color indexed="64"/>
      </bottom>
      <diagonal/>
    </border>
    <border>
      <left/>
      <right style="hair">
        <color indexed="64"/>
      </right>
      <top/>
      <bottom style="medium">
        <color indexed="64"/>
      </bottom>
      <diagonal/>
    </border>
    <border>
      <left style="medium">
        <color indexed="64"/>
      </left>
      <right style="hair">
        <color indexed="64"/>
      </right>
      <top style="thin">
        <color indexed="64"/>
      </top>
      <bottom/>
      <diagonal/>
    </border>
    <border>
      <left style="hair">
        <color indexed="64"/>
      </left>
      <right style="medium">
        <color indexed="64"/>
      </right>
      <top style="thin">
        <color indexed="64"/>
      </top>
      <bottom/>
      <diagonal/>
    </border>
    <border>
      <left style="hair">
        <color indexed="64"/>
      </left>
      <right/>
      <top style="hair">
        <color indexed="64"/>
      </top>
      <bottom style="medium">
        <color indexed="64"/>
      </bottom>
      <diagonal/>
    </border>
    <border>
      <left/>
      <right/>
      <top style="hair">
        <color indexed="64"/>
      </top>
      <bottom style="medium">
        <color indexed="64"/>
      </bottom>
      <diagonal/>
    </border>
    <border>
      <left style="hair">
        <color indexed="64"/>
      </left>
      <right style="hair">
        <color indexed="64"/>
      </right>
      <top style="hair">
        <color indexed="64"/>
      </top>
      <bottom style="medium">
        <color indexed="64"/>
      </bottom>
      <diagonal/>
    </border>
    <border>
      <left/>
      <right style="medium">
        <color indexed="64"/>
      </right>
      <top style="hair">
        <color indexed="64"/>
      </top>
      <bottom/>
      <diagonal/>
    </border>
    <border>
      <left/>
      <right style="medium">
        <color indexed="64"/>
      </right>
      <top style="medium">
        <color indexed="64"/>
      </top>
      <bottom/>
      <diagonal/>
    </border>
    <border>
      <left style="thin">
        <color indexed="64"/>
      </left>
      <right style="medium">
        <color indexed="64"/>
      </right>
      <top style="thin">
        <color indexed="64"/>
      </top>
      <bottom style="thin">
        <color indexed="64"/>
      </bottom>
      <diagonal/>
    </border>
    <border>
      <left style="thin">
        <color indexed="64"/>
      </left>
      <right/>
      <top/>
      <bottom/>
      <diagonal/>
    </border>
    <border>
      <left style="hair">
        <color indexed="64"/>
      </left>
      <right/>
      <top style="thin">
        <color indexed="64"/>
      </top>
      <bottom/>
      <diagonal/>
    </border>
  </borders>
  <cellStyleXfs count="1024">
    <xf numFmtId="0" fontId="0" fillId="0" borderId="0">
      <alignment vertical="center"/>
    </xf>
    <xf numFmtId="0" fontId="38" fillId="0" borderId="0">
      <alignment vertical="center"/>
    </xf>
    <xf numFmtId="0" fontId="3" fillId="0" borderId="0">
      <alignment vertical="center"/>
    </xf>
    <xf numFmtId="177" fontId="5" fillId="0" borderId="0" applyFont="0" applyFill="0" applyBorder="0" applyAlignment="0" applyProtection="0">
      <alignment vertical="center"/>
    </xf>
    <xf numFmtId="9" fontId="5" fillId="0" borderId="0" applyFont="0" applyFill="0" applyBorder="0" applyAlignment="0" applyProtection="0">
      <alignment vertical="center"/>
    </xf>
    <xf numFmtId="0" fontId="5" fillId="0" borderId="0">
      <alignment vertical="center"/>
    </xf>
    <xf numFmtId="0" fontId="7" fillId="0" borderId="0"/>
    <xf numFmtId="0" fontId="7" fillId="0" borderId="0"/>
    <xf numFmtId="0" fontId="42" fillId="0" borderId="0"/>
    <xf numFmtId="0" fontId="42" fillId="0" borderId="0"/>
    <xf numFmtId="0" fontId="7" fillId="0" borderId="0"/>
    <xf numFmtId="0" fontId="7" fillId="0" borderId="0" applyFont="0" applyFill="0" applyBorder="0" applyAlignment="0" applyProtection="0"/>
    <xf numFmtId="0" fontId="7" fillId="0" borderId="0" applyFont="0" applyFill="0" applyBorder="0" applyAlignment="0" applyProtection="0"/>
    <xf numFmtId="0" fontId="43" fillId="0" borderId="0"/>
    <xf numFmtId="9" fontId="44" fillId="0" borderId="0" applyFont="0" applyFill="0" applyBorder="0" applyAlignment="0" applyProtection="0"/>
    <xf numFmtId="0" fontId="45" fillId="14" borderId="0" applyNumberFormat="0" applyBorder="0" applyAlignment="0" applyProtection="0">
      <alignment vertical="center"/>
    </xf>
    <xf numFmtId="0" fontId="45" fillId="15" borderId="0" applyNumberFormat="0" applyBorder="0" applyAlignment="0" applyProtection="0">
      <alignment vertical="center"/>
    </xf>
    <xf numFmtId="0" fontId="45" fillId="16" borderId="0" applyNumberFormat="0" applyBorder="0" applyAlignment="0" applyProtection="0">
      <alignment vertical="center"/>
    </xf>
    <xf numFmtId="0" fontId="45" fillId="17" borderId="0" applyNumberFormat="0" applyBorder="0" applyAlignment="0" applyProtection="0">
      <alignment vertical="center"/>
    </xf>
    <xf numFmtId="0" fontId="45" fillId="18" borderId="0" applyNumberFormat="0" applyBorder="0" applyAlignment="0" applyProtection="0">
      <alignment vertical="center"/>
    </xf>
    <xf numFmtId="0" fontId="45" fillId="19" borderId="0" applyNumberFormat="0" applyBorder="0" applyAlignment="0" applyProtection="0">
      <alignment vertical="center"/>
    </xf>
    <xf numFmtId="0" fontId="45" fillId="20" borderId="0" applyNumberFormat="0" applyBorder="0" applyAlignment="0" applyProtection="0">
      <alignment vertical="center"/>
    </xf>
    <xf numFmtId="0" fontId="45" fillId="21" borderId="0" applyNumberFormat="0" applyBorder="0" applyAlignment="0" applyProtection="0">
      <alignment vertical="center"/>
    </xf>
    <xf numFmtId="0" fontId="45" fillId="22" borderId="0" applyNumberFormat="0" applyBorder="0" applyAlignment="0" applyProtection="0">
      <alignment vertical="center"/>
    </xf>
    <xf numFmtId="0" fontId="45" fillId="17" borderId="0" applyNumberFormat="0" applyBorder="0" applyAlignment="0" applyProtection="0">
      <alignment vertical="center"/>
    </xf>
    <xf numFmtId="0" fontId="45" fillId="20" borderId="0" applyNumberFormat="0" applyBorder="0" applyAlignment="0" applyProtection="0">
      <alignment vertical="center"/>
    </xf>
    <xf numFmtId="0" fontId="45" fillId="23" borderId="0" applyNumberFormat="0" applyBorder="0" applyAlignment="0" applyProtection="0">
      <alignment vertical="center"/>
    </xf>
    <xf numFmtId="0" fontId="46" fillId="24" borderId="0" applyNumberFormat="0" applyBorder="0" applyAlignment="0" applyProtection="0">
      <alignment vertical="center"/>
    </xf>
    <xf numFmtId="0" fontId="46" fillId="21" borderId="0" applyNumberFormat="0" applyBorder="0" applyAlignment="0" applyProtection="0">
      <alignment vertical="center"/>
    </xf>
    <xf numFmtId="0" fontId="46" fillId="22" borderId="0" applyNumberFormat="0" applyBorder="0" applyAlignment="0" applyProtection="0">
      <alignment vertical="center"/>
    </xf>
    <xf numFmtId="0" fontId="46" fillId="25" borderId="0" applyNumberFormat="0" applyBorder="0" applyAlignment="0" applyProtection="0">
      <alignment vertical="center"/>
    </xf>
    <xf numFmtId="0" fontId="46" fillId="26" borderId="0" applyNumberFormat="0" applyBorder="0" applyAlignment="0" applyProtection="0">
      <alignment vertical="center"/>
    </xf>
    <xf numFmtId="0" fontId="46" fillId="27" borderId="0" applyNumberFormat="0" applyBorder="0" applyAlignment="0" applyProtection="0">
      <alignment vertical="center"/>
    </xf>
    <xf numFmtId="0" fontId="47" fillId="0" borderId="0" applyFont="0" applyFill="0" applyBorder="0" applyAlignment="0" applyProtection="0"/>
    <xf numFmtId="0" fontId="47" fillId="0" borderId="0" applyFont="0" applyFill="0" applyBorder="0" applyAlignment="0" applyProtection="0"/>
    <xf numFmtId="0" fontId="48" fillId="0" borderId="0" applyFont="0" applyFill="0" applyBorder="0" applyAlignment="0" applyProtection="0"/>
    <xf numFmtId="0" fontId="48" fillId="0" borderId="0" applyFont="0" applyFill="0" applyBorder="0" applyAlignment="0" applyProtection="0"/>
    <xf numFmtId="0" fontId="46" fillId="28" borderId="0" applyNumberFormat="0" applyBorder="0" applyAlignment="0" applyProtection="0">
      <alignment vertical="center"/>
    </xf>
    <xf numFmtId="0" fontId="46" fillId="29" borderId="0" applyNumberFormat="0" applyBorder="0" applyAlignment="0" applyProtection="0">
      <alignment vertical="center"/>
    </xf>
    <xf numFmtId="0" fontId="46" fillId="30" borderId="0" applyNumberFormat="0" applyBorder="0" applyAlignment="0" applyProtection="0">
      <alignment vertical="center"/>
    </xf>
    <xf numFmtId="0" fontId="46" fillId="25" borderId="0" applyNumberFormat="0" applyBorder="0" applyAlignment="0" applyProtection="0">
      <alignment vertical="center"/>
    </xf>
    <xf numFmtId="0" fontId="46" fillId="26" borderId="0" applyNumberFormat="0" applyBorder="0" applyAlignment="0" applyProtection="0">
      <alignment vertical="center"/>
    </xf>
    <xf numFmtId="0" fontId="46" fillId="31" borderId="0" applyNumberFormat="0" applyBorder="0" applyAlignment="0" applyProtection="0">
      <alignment vertical="center"/>
    </xf>
    <xf numFmtId="181" fontId="49" fillId="0" borderId="0" applyFont="0" applyFill="0" applyBorder="0" applyAlignment="0" applyProtection="0"/>
    <xf numFmtId="182" fontId="44" fillId="0" borderId="0" applyFont="0" applyFill="0" applyBorder="0" applyAlignment="0" applyProtection="0"/>
    <xf numFmtId="0" fontId="42" fillId="0" borderId="0" applyFont="0" applyFill="0" applyBorder="0" applyAlignment="0" applyProtection="0"/>
    <xf numFmtId="0" fontId="44" fillId="0" borderId="0" applyFont="0" applyFill="0" applyBorder="0" applyAlignment="0" applyProtection="0"/>
    <xf numFmtId="0" fontId="42" fillId="0" borderId="0" applyFont="0" applyFill="0" applyBorder="0" applyAlignment="0" applyProtection="0"/>
    <xf numFmtId="0" fontId="44" fillId="0" borderId="0" applyFont="0" applyFill="0" applyBorder="0" applyAlignment="0" applyProtection="0"/>
    <xf numFmtId="0" fontId="42" fillId="0" borderId="0" applyFont="0" applyFill="0" applyBorder="0" applyAlignment="0" applyProtection="0"/>
    <xf numFmtId="183" fontId="49" fillId="0" borderId="0" applyFont="0" applyFill="0" applyBorder="0" applyAlignment="0" applyProtection="0"/>
    <xf numFmtId="184" fontId="44" fillId="0" borderId="0" applyFont="0" applyFill="0" applyBorder="0" applyAlignment="0" applyProtection="0"/>
    <xf numFmtId="0" fontId="42" fillId="0" borderId="0" applyFont="0" applyFill="0" applyBorder="0" applyAlignment="0" applyProtection="0"/>
    <xf numFmtId="0" fontId="44" fillId="0" borderId="0" applyFont="0" applyFill="0" applyBorder="0" applyAlignment="0" applyProtection="0"/>
    <xf numFmtId="0" fontId="42" fillId="0" borderId="0" applyFont="0" applyFill="0" applyBorder="0" applyAlignment="0" applyProtection="0"/>
    <xf numFmtId="0" fontId="44" fillId="0" borderId="0" applyFont="0" applyFill="0" applyBorder="0" applyAlignment="0" applyProtection="0"/>
    <xf numFmtId="0" fontId="42" fillId="0" borderId="0" applyFont="0" applyFill="0" applyBorder="0" applyAlignment="0" applyProtection="0"/>
    <xf numFmtId="0" fontId="48" fillId="0" borderId="0" applyFont="0" applyFill="0" applyBorder="0" applyAlignment="0" applyProtection="0"/>
    <xf numFmtId="0" fontId="48" fillId="0" borderId="0" applyFont="0" applyFill="0" applyBorder="0" applyAlignment="0" applyProtection="0"/>
    <xf numFmtId="0" fontId="47" fillId="0" borderId="0" applyFont="0" applyFill="0" applyBorder="0" applyAlignment="0" applyProtection="0"/>
    <xf numFmtId="0" fontId="47" fillId="0" borderId="0" applyFont="0" applyFill="0" applyBorder="0" applyAlignment="0" applyProtection="0"/>
    <xf numFmtId="0" fontId="50" fillId="0" borderId="0"/>
    <xf numFmtId="185" fontId="49" fillId="0" borderId="0" applyFont="0" applyFill="0" applyBorder="0" applyAlignment="0" applyProtection="0"/>
    <xf numFmtId="186" fontId="44" fillId="0" borderId="0" applyFont="0" applyFill="0" applyBorder="0" applyAlignment="0" applyProtection="0"/>
    <xf numFmtId="0" fontId="42" fillId="0" borderId="0" applyFont="0" applyFill="0" applyBorder="0" applyAlignment="0" applyProtection="0"/>
    <xf numFmtId="0" fontId="51" fillId="0" borderId="0" applyFont="0" applyFill="0" applyBorder="0" applyAlignment="0" applyProtection="0"/>
    <xf numFmtId="0" fontId="49" fillId="0" borderId="0" applyFont="0" applyFill="0" applyBorder="0" applyAlignment="0" applyProtection="0"/>
    <xf numFmtId="0" fontId="44" fillId="0" borderId="0" applyFont="0" applyFill="0" applyBorder="0" applyAlignment="0" applyProtection="0"/>
    <xf numFmtId="0" fontId="42" fillId="0" borderId="0" applyFont="0" applyFill="0" applyBorder="0" applyAlignment="0" applyProtection="0"/>
    <xf numFmtId="187" fontId="49" fillId="0" borderId="0" applyFont="0" applyFill="0" applyBorder="0" applyAlignment="0" applyProtection="0"/>
    <xf numFmtId="0" fontId="52" fillId="0" borderId="0" applyFont="0" applyFill="0" applyBorder="0" applyAlignment="0" applyProtection="0"/>
    <xf numFmtId="0" fontId="53" fillId="0" borderId="0" applyFont="0" applyFill="0" applyBorder="0" applyAlignment="0" applyProtection="0"/>
    <xf numFmtId="0" fontId="44" fillId="0" borderId="0" applyFont="0" applyFill="0" applyBorder="0" applyAlignment="0" applyProtection="0"/>
    <xf numFmtId="0" fontId="42" fillId="0" borderId="0" applyFont="0" applyFill="0" applyBorder="0" applyAlignment="0" applyProtection="0"/>
    <xf numFmtId="0" fontId="5" fillId="0" borderId="0" applyFont="0" applyFill="0" applyBorder="0" applyAlignment="0" applyProtection="0"/>
    <xf numFmtId="0" fontId="54" fillId="15" borderId="0" applyNumberFormat="0" applyBorder="0" applyAlignment="0" applyProtection="0">
      <alignment vertical="center"/>
    </xf>
    <xf numFmtId="0" fontId="55" fillId="0" borderId="0"/>
    <xf numFmtId="0" fontId="55" fillId="0" borderId="0" applyNumberFormat="0"/>
    <xf numFmtId="0" fontId="44" fillId="0" borderId="0"/>
    <xf numFmtId="0" fontId="49" fillId="0" borderId="0"/>
    <xf numFmtId="0" fontId="56" fillId="0" borderId="0"/>
    <xf numFmtId="0" fontId="55" fillId="0" borderId="0"/>
    <xf numFmtId="0" fontId="44" fillId="0" borderId="0"/>
    <xf numFmtId="0" fontId="49" fillId="0" borderId="0"/>
    <xf numFmtId="0" fontId="44" fillId="0" borderId="0"/>
    <xf numFmtId="0" fontId="57" fillId="0" borderId="0"/>
    <xf numFmtId="0" fontId="58" fillId="0" borderId="0"/>
    <xf numFmtId="0" fontId="49" fillId="0" borderId="0"/>
    <xf numFmtId="0" fontId="44" fillId="0" borderId="0"/>
    <xf numFmtId="0" fontId="49" fillId="0" borderId="0"/>
    <xf numFmtId="0" fontId="44" fillId="0" borderId="0"/>
    <xf numFmtId="0" fontId="57" fillId="0" borderId="0"/>
    <xf numFmtId="0" fontId="58" fillId="0" borderId="0"/>
    <xf numFmtId="0" fontId="49" fillId="0" borderId="0"/>
    <xf numFmtId="0" fontId="44" fillId="0" borderId="0"/>
    <xf numFmtId="0" fontId="57" fillId="0" borderId="0"/>
    <xf numFmtId="0" fontId="58" fillId="0" borderId="0"/>
    <xf numFmtId="0" fontId="49" fillId="0" borderId="0"/>
    <xf numFmtId="0" fontId="44" fillId="0" borderId="0"/>
    <xf numFmtId="0" fontId="49" fillId="0" borderId="0"/>
    <xf numFmtId="0" fontId="44" fillId="0" borderId="0"/>
    <xf numFmtId="0" fontId="49" fillId="0" borderId="0"/>
    <xf numFmtId="0" fontId="44" fillId="0" borderId="0"/>
    <xf numFmtId="0" fontId="57" fillId="0" borderId="0"/>
    <xf numFmtId="0" fontId="58" fillId="0" borderId="0"/>
    <xf numFmtId="0" fontId="49" fillId="0" borderId="0"/>
    <xf numFmtId="0" fontId="44" fillId="0" borderId="0"/>
    <xf numFmtId="0" fontId="57" fillId="0" borderId="0"/>
    <xf numFmtId="0" fontId="58" fillId="0" borderId="0"/>
    <xf numFmtId="0" fontId="49" fillId="0" borderId="0"/>
    <xf numFmtId="0" fontId="44" fillId="0" borderId="0"/>
    <xf numFmtId="0" fontId="49" fillId="0" borderId="0"/>
    <xf numFmtId="0" fontId="44" fillId="0" borderId="0"/>
    <xf numFmtId="0" fontId="49" fillId="0" borderId="0"/>
    <xf numFmtId="0" fontId="44" fillId="0" borderId="0"/>
    <xf numFmtId="0" fontId="57" fillId="0" borderId="0"/>
    <xf numFmtId="0" fontId="58" fillId="0" borderId="0"/>
    <xf numFmtId="0" fontId="57" fillId="0" borderId="0"/>
    <xf numFmtId="0" fontId="58" fillId="0" borderId="0"/>
    <xf numFmtId="0" fontId="49" fillId="0" borderId="0"/>
    <xf numFmtId="0" fontId="44" fillId="0" borderId="0"/>
    <xf numFmtId="0" fontId="57" fillId="0" borderId="0"/>
    <xf numFmtId="0" fontId="58" fillId="0" borderId="0"/>
    <xf numFmtId="0" fontId="49" fillId="0" borderId="0"/>
    <xf numFmtId="0" fontId="44" fillId="0" borderId="0"/>
    <xf numFmtId="0" fontId="49" fillId="0" borderId="0"/>
    <xf numFmtId="0" fontId="44" fillId="0" borderId="0"/>
    <xf numFmtId="0" fontId="57" fillId="0" borderId="0"/>
    <xf numFmtId="0" fontId="58" fillId="0" borderId="0"/>
    <xf numFmtId="0" fontId="49" fillId="0" borderId="0"/>
    <xf numFmtId="0" fontId="44" fillId="0" borderId="0"/>
    <xf numFmtId="0" fontId="57" fillId="0" borderId="0"/>
    <xf numFmtId="0" fontId="58" fillId="0" borderId="0"/>
    <xf numFmtId="0" fontId="49" fillId="0" borderId="0"/>
    <xf numFmtId="0" fontId="44" fillId="0" borderId="0"/>
    <xf numFmtId="0" fontId="49" fillId="0" borderId="0"/>
    <xf numFmtId="0" fontId="44" fillId="0" borderId="0"/>
    <xf numFmtId="0" fontId="49" fillId="0" borderId="0"/>
    <xf numFmtId="0" fontId="44" fillId="0" borderId="0"/>
    <xf numFmtId="0" fontId="57" fillId="0" borderId="0"/>
    <xf numFmtId="0" fontId="58" fillId="0" borderId="0"/>
    <xf numFmtId="0" fontId="49" fillId="0" borderId="0"/>
    <xf numFmtId="0" fontId="44" fillId="0" borderId="0"/>
    <xf numFmtId="0" fontId="57" fillId="0" borderId="0"/>
    <xf numFmtId="0" fontId="58" fillId="0" borderId="0"/>
    <xf numFmtId="0" fontId="49" fillId="0" borderId="0"/>
    <xf numFmtId="0" fontId="44" fillId="0" borderId="0"/>
    <xf numFmtId="0" fontId="49" fillId="0" borderId="0"/>
    <xf numFmtId="0" fontId="44" fillId="0" borderId="0"/>
    <xf numFmtId="0" fontId="49" fillId="0" borderId="0"/>
    <xf numFmtId="0" fontId="44" fillId="0" borderId="0"/>
    <xf numFmtId="0" fontId="57" fillId="0" borderId="0"/>
    <xf numFmtId="0" fontId="58" fillId="0" borderId="0"/>
    <xf numFmtId="0" fontId="57" fillId="0" borderId="0"/>
    <xf numFmtId="0" fontId="58" fillId="0" borderId="0"/>
    <xf numFmtId="0" fontId="49" fillId="0" borderId="0"/>
    <xf numFmtId="0" fontId="44" fillId="0" borderId="0"/>
    <xf numFmtId="0" fontId="57" fillId="0" borderId="0"/>
    <xf numFmtId="0" fontId="58" fillId="0" borderId="0"/>
    <xf numFmtId="0" fontId="49" fillId="0" borderId="0"/>
    <xf numFmtId="0" fontId="44" fillId="0" borderId="0"/>
    <xf numFmtId="0" fontId="49" fillId="0" borderId="0"/>
    <xf numFmtId="0" fontId="44" fillId="0" borderId="0"/>
    <xf numFmtId="0" fontId="57" fillId="0" borderId="0"/>
    <xf numFmtId="0" fontId="58" fillId="0" borderId="0"/>
    <xf numFmtId="0" fontId="49" fillId="0" borderId="0"/>
    <xf numFmtId="0" fontId="44" fillId="0" borderId="0"/>
    <xf numFmtId="0" fontId="57" fillId="0" borderId="0"/>
    <xf numFmtId="0" fontId="58" fillId="0" borderId="0"/>
    <xf numFmtId="0" fontId="49" fillId="0" borderId="0"/>
    <xf numFmtId="0" fontId="44" fillId="0" borderId="0"/>
    <xf numFmtId="0" fontId="49" fillId="0" borderId="0"/>
    <xf numFmtId="0" fontId="44" fillId="0" borderId="0"/>
    <xf numFmtId="0" fontId="49" fillId="0" borderId="0"/>
    <xf numFmtId="0" fontId="44" fillId="0" borderId="0"/>
    <xf numFmtId="0" fontId="57" fillId="0" borderId="0"/>
    <xf numFmtId="0" fontId="58" fillId="0" borderId="0"/>
    <xf numFmtId="0" fontId="49" fillId="0" borderId="0"/>
    <xf numFmtId="0" fontId="44" fillId="0" borderId="0"/>
    <xf numFmtId="0" fontId="57" fillId="0" borderId="0"/>
    <xf numFmtId="0" fontId="58" fillId="0" borderId="0"/>
    <xf numFmtId="0" fontId="49" fillId="0" borderId="0"/>
    <xf numFmtId="0" fontId="44" fillId="0" borderId="0"/>
    <xf numFmtId="0" fontId="49" fillId="0" borderId="0"/>
    <xf numFmtId="0" fontId="44" fillId="0" borderId="0"/>
    <xf numFmtId="0" fontId="49" fillId="0" borderId="0"/>
    <xf numFmtId="0" fontId="44" fillId="0" borderId="0"/>
    <xf numFmtId="0" fontId="57" fillId="0" borderId="0"/>
    <xf numFmtId="0" fontId="58" fillId="0" borderId="0"/>
    <xf numFmtId="0" fontId="57" fillId="0" borderId="0"/>
    <xf numFmtId="0" fontId="58" fillId="0" borderId="0"/>
    <xf numFmtId="0" fontId="49" fillId="0" borderId="0"/>
    <xf numFmtId="0" fontId="44" fillId="0" borderId="0"/>
    <xf numFmtId="0" fontId="57" fillId="0" borderId="0"/>
    <xf numFmtId="0" fontId="58" fillId="0" borderId="0"/>
    <xf numFmtId="0" fontId="49" fillId="0" borderId="0"/>
    <xf numFmtId="0" fontId="44" fillId="0" borderId="0"/>
    <xf numFmtId="0" fontId="49" fillId="0" borderId="0"/>
    <xf numFmtId="0" fontId="44" fillId="0" borderId="0"/>
    <xf numFmtId="0" fontId="57" fillId="0" borderId="0"/>
    <xf numFmtId="0" fontId="58" fillId="0" borderId="0"/>
    <xf numFmtId="0" fontId="49" fillId="0" borderId="0"/>
    <xf numFmtId="0" fontId="44" fillId="0" borderId="0"/>
    <xf numFmtId="0" fontId="57" fillId="0" borderId="0"/>
    <xf numFmtId="0" fontId="58" fillId="0" borderId="0"/>
    <xf numFmtId="0" fontId="49" fillId="0" borderId="0"/>
    <xf numFmtId="0" fontId="44" fillId="0" borderId="0"/>
    <xf numFmtId="0" fontId="49" fillId="0" borderId="0"/>
    <xf numFmtId="0" fontId="44" fillId="0" borderId="0"/>
    <xf numFmtId="0" fontId="49" fillId="0" borderId="0"/>
    <xf numFmtId="0" fontId="44" fillId="0" borderId="0"/>
    <xf numFmtId="0" fontId="57" fillId="0" borderId="0"/>
    <xf numFmtId="0" fontId="58" fillId="0" borderId="0"/>
    <xf numFmtId="0" fontId="49" fillId="0" borderId="0"/>
    <xf numFmtId="0" fontId="44" fillId="0" borderId="0"/>
    <xf numFmtId="0" fontId="57" fillId="0" borderId="0"/>
    <xf numFmtId="0" fontId="58" fillId="0" borderId="0"/>
    <xf numFmtId="0" fontId="49" fillId="0" borderId="0"/>
    <xf numFmtId="0" fontId="44" fillId="0" borderId="0"/>
    <xf numFmtId="0" fontId="49" fillId="0" borderId="0"/>
    <xf numFmtId="0" fontId="44" fillId="0" borderId="0"/>
    <xf numFmtId="0" fontId="49" fillId="0" borderId="0"/>
    <xf numFmtId="0" fontId="44" fillId="0" borderId="0"/>
    <xf numFmtId="0" fontId="57" fillId="0" borderId="0"/>
    <xf numFmtId="0" fontId="58" fillId="0" borderId="0"/>
    <xf numFmtId="0" fontId="57" fillId="0" borderId="0"/>
    <xf numFmtId="0" fontId="58" fillId="0" borderId="0"/>
    <xf numFmtId="0" fontId="49" fillId="0" borderId="0"/>
    <xf numFmtId="0" fontId="44" fillId="0" borderId="0"/>
    <xf numFmtId="0" fontId="57" fillId="0" borderId="0"/>
    <xf numFmtId="0" fontId="58" fillId="0" borderId="0"/>
    <xf numFmtId="0" fontId="49" fillId="0" borderId="0"/>
    <xf numFmtId="0" fontId="44" fillId="0" borderId="0"/>
    <xf numFmtId="0" fontId="49" fillId="0" borderId="0"/>
    <xf numFmtId="0" fontId="44" fillId="0" borderId="0"/>
    <xf numFmtId="0" fontId="57" fillId="0" borderId="0"/>
    <xf numFmtId="0" fontId="58" fillId="0" borderId="0"/>
    <xf numFmtId="0" fontId="49" fillId="0" borderId="0"/>
    <xf numFmtId="0" fontId="44" fillId="0" borderId="0"/>
    <xf numFmtId="0" fontId="57" fillId="0" borderId="0"/>
    <xf numFmtId="0" fontId="58" fillId="0" borderId="0"/>
    <xf numFmtId="0" fontId="49" fillId="0" borderId="0"/>
    <xf numFmtId="0" fontId="44" fillId="0" borderId="0"/>
    <xf numFmtId="0" fontId="49" fillId="0" borderId="0"/>
    <xf numFmtId="0" fontId="44" fillId="0" borderId="0"/>
    <xf numFmtId="0" fontId="49" fillId="0" borderId="0"/>
    <xf numFmtId="0" fontId="44" fillId="0" borderId="0"/>
    <xf numFmtId="0" fontId="57" fillId="0" borderId="0"/>
    <xf numFmtId="0" fontId="58" fillId="0" borderId="0"/>
    <xf numFmtId="0" fontId="49" fillId="0" borderId="0"/>
    <xf numFmtId="0" fontId="44" fillId="0" borderId="0"/>
    <xf numFmtId="0" fontId="57" fillId="0" borderId="0"/>
    <xf numFmtId="0" fontId="58" fillId="0" borderId="0"/>
    <xf numFmtId="0" fontId="49" fillId="0" borderId="0"/>
    <xf numFmtId="0" fontId="44" fillId="0" borderId="0"/>
    <xf numFmtId="0" fontId="49" fillId="0" borderId="0"/>
    <xf numFmtId="0" fontId="44" fillId="0" borderId="0"/>
    <xf numFmtId="0" fontId="49" fillId="0" borderId="0"/>
    <xf numFmtId="0" fontId="44" fillId="0" borderId="0"/>
    <xf numFmtId="0" fontId="57" fillId="0" borderId="0"/>
    <xf numFmtId="0" fontId="58" fillId="0" borderId="0"/>
    <xf numFmtId="0" fontId="57" fillId="0" borderId="0"/>
    <xf numFmtId="0" fontId="58" fillId="0" borderId="0"/>
    <xf numFmtId="0" fontId="49" fillId="0" borderId="0"/>
    <xf numFmtId="0" fontId="44" fillId="0" borderId="0"/>
    <xf numFmtId="0" fontId="57" fillId="0" borderId="0"/>
    <xf numFmtId="0" fontId="58" fillId="0" borderId="0"/>
    <xf numFmtId="0" fontId="49" fillId="0" borderId="0"/>
    <xf numFmtId="0" fontId="44" fillId="0" borderId="0"/>
    <xf numFmtId="0" fontId="49" fillId="0" borderId="0"/>
    <xf numFmtId="0" fontId="44" fillId="0" borderId="0"/>
    <xf numFmtId="0" fontId="57" fillId="0" borderId="0"/>
    <xf numFmtId="0" fontId="58" fillId="0" borderId="0"/>
    <xf numFmtId="0" fontId="49" fillId="0" borderId="0"/>
    <xf numFmtId="0" fontId="44" fillId="0" borderId="0"/>
    <xf numFmtId="0" fontId="57" fillId="0" borderId="0"/>
    <xf numFmtId="0" fontId="58" fillId="0" borderId="0"/>
    <xf numFmtId="0" fontId="49" fillId="0" borderId="0"/>
    <xf numFmtId="0" fontId="44" fillId="0" borderId="0"/>
    <xf numFmtId="0" fontId="49" fillId="0" borderId="0"/>
    <xf numFmtId="0" fontId="44" fillId="0" borderId="0"/>
    <xf numFmtId="0" fontId="49" fillId="0" borderId="0"/>
    <xf numFmtId="0" fontId="44" fillId="0" borderId="0"/>
    <xf numFmtId="0" fontId="57" fillId="0" borderId="0"/>
    <xf numFmtId="0" fontId="58" fillId="0" borderId="0"/>
    <xf numFmtId="0" fontId="49" fillId="0" borderId="0"/>
    <xf numFmtId="0" fontId="44" fillId="0" borderId="0"/>
    <xf numFmtId="0" fontId="57" fillId="0" borderId="0"/>
    <xf numFmtId="0" fontId="58" fillId="0" borderId="0"/>
    <xf numFmtId="0" fontId="49" fillId="0" borderId="0"/>
    <xf numFmtId="0" fontId="44" fillId="0" borderId="0"/>
    <xf numFmtId="0" fontId="49" fillId="0" borderId="0"/>
    <xf numFmtId="0" fontId="44" fillId="0" borderId="0"/>
    <xf numFmtId="0" fontId="49" fillId="0" borderId="0"/>
    <xf numFmtId="0" fontId="44" fillId="0" borderId="0"/>
    <xf numFmtId="0" fontId="57" fillId="0" borderId="0"/>
    <xf numFmtId="0" fontId="58" fillId="0" borderId="0"/>
    <xf numFmtId="0" fontId="57" fillId="0" borderId="0"/>
    <xf numFmtId="0" fontId="58" fillId="0" borderId="0"/>
    <xf numFmtId="0" fontId="49" fillId="0" borderId="0"/>
    <xf numFmtId="0" fontId="44" fillId="0" borderId="0"/>
    <xf numFmtId="0" fontId="57" fillId="0" borderId="0"/>
    <xf numFmtId="0" fontId="58" fillId="0" borderId="0"/>
    <xf numFmtId="0" fontId="49" fillId="0" borderId="0"/>
    <xf numFmtId="0" fontId="44" fillId="0" borderId="0"/>
    <xf numFmtId="0" fontId="49" fillId="0" borderId="0"/>
    <xf numFmtId="0" fontId="44" fillId="0" borderId="0"/>
    <xf numFmtId="0" fontId="57" fillId="0" borderId="0"/>
    <xf numFmtId="0" fontId="58" fillId="0" borderId="0"/>
    <xf numFmtId="0" fontId="49" fillId="0" borderId="0"/>
    <xf numFmtId="0" fontId="44" fillId="0" borderId="0"/>
    <xf numFmtId="0" fontId="57" fillId="0" borderId="0"/>
    <xf numFmtId="0" fontId="58" fillId="0" borderId="0"/>
    <xf numFmtId="0" fontId="49" fillId="0" borderId="0"/>
    <xf numFmtId="0" fontId="44" fillId="0" borderId="0"/>
    <xf numFmtId="0" fontId="49" fillId="0" borderId="0"/>
    <xf numFmtId="0" fontId="44" fillId="0" borderId="0"/>
    <xf numFmtId="0" fontId="49" fillId="0" borderId="0"/>
    <xf numFmtId="0" fontId="44" fillId="0" borderId="0"/>
    <xf numFmtId="0" fontId="57" fillId="0" borderId="0"/>
    <xf numFmtId="0" fontId="58" fillId="0" borderId="0"/>
    <xf numFmtId="0" fontId="49" fillId="0" borderId="0"/>
    <xf numFmtId="0" fontId="44" fillId="0" borderId="0"/>
    <xf numFmtId="0" fontId="57" fillId="0" borderId="0"/>
    <xf numFmtId="0" fontId="58" fillId="0" borderId="0"/>
    <xf numFmtId="0" fontId="49" fillId="0" borderId="0"/>
    <xf numFmtId="0" fontId="44" fillId="0" borderId="0"/>
    <xf numFmtId="0" fontId="49" fillId="0" borderId="0"/>
    <xf numFmtId="0" fontId="44" fillId="0" borderId="0"/>
    <xf numFmtId="0" fontId="49" fillId="0" borderId="0"/>
    <xf numFmtId="0" fontId="44" fillId="0" borderId="0"/>
    <xf numFmtId="0" fontId="57" fillId="0" borderId="0"/>
    <xf numFmtId="0" fontId="58" fillId="0" borderId="0"/>
    <xf numFmtId="0" fontId="57" fillId="0" borderId="0"/>
    <xf numFmtId="0" fontId="58" fillId="0" borderId="0"/>
    <xf numFmtId="0" fontId="49" fillId="0" borderId="0"/>
    <xf numFmtId="0" fontId="44" fillId="0" borderId="0"/>
    <xf numFmtId="0" fontId="57" fillId="0" borderId="0"/>
    <xf numFmtId="0" fontId="58" fillId="0" borderId="0"/>
    <xf numFmtId="0" fontId="49" fillId="0" borderId="0"/>
    <xf numFmtId="0" fontId="44" fillId="0" borderId="0"/>
    <xf numFmtId="0" fontId="49" fillId="0" borderId="0"/>
    <xf numFmtId="0" fontId="44" fillId="0" borderId="0"/>
    <xf numFmtId="0" fontId="57" fillId="0" borderId="0"/>
    <xf numFmtId="0" fontId="58" fillId="0" borderId="0"/>
    <xf numFmtId="0" fontId="49" fillId="0" borderId="0"/>
    <xf numFmtId="0" fontId="44" fillId="0" borderId="0"/>
    <xf numFmtId="0" fontId="57" fillId="0" borderId="0"/>
    <xf numFmtId="0" fontId="58" fillId="0" borderId="0"/>
    <xf numFmtId="0" fontId="49" fillId="0" borderId="0"/>
    <xf numFmtId="0" fontId="44" fillId="0" borderId="0"/>
    <xf numFmtId="0" fontId="49" fillId="0" borderId="0"/>
    <xf numFmtId="0" fontId="44" fillId="0" borderId="0"/>
    <xf numFmtId="0" fontId="49" fillId="0" borderId="0"/>
    <xf numFmtId="0" fontId="44" fillId="0" borderId="0"/>
    <xf numFmtId="0" fontId="57" fillId="0" borderId="0"/>
    <xf numFmtId="0" fontId="58" fillId="0" borderId="0"/>
    <xf numFmtId="0" fontId="49" fillId="0" borderId="0"/>
    <xf numFmtId="0" fontId="44" fillId="0" borderId="0"/>
    <xf numFmtId="0" fontId="57" fillId="0" borderId="0"/>
    <xf numFmtId="0" fontId="58" fillId="0" borderId="0"/>
    <xf numFmtId="0" fontId="49" fillId="0" borderId="0"/>
    <xf numFmtId="0" fontId="44" fillId="0" borderId="0"/>
    <xf numFmtId="0" fontId="49" fillId="0" borderId="0"/>
    <xf numFmtId="0" fontId="44" fillId="0" borderId="0"/>
    <xf numFmtId="0" fontId="49" fillId="0" borderId="0"/>
    <xf numFmtId="0" fontId="44" fillId="0" borderId="0"/>
    <xf numFmtId="0" fontId="57" fillId="0" borderId="0"/>
    <xf numFmtId="0" fontId="58" fillId="0" borderId="0"/>
    <xf numFmtId="0" fontId="57" fillId="0" borderId="0"/>
    <xf numFmtId="0" fontId="58" fillId="0" borderId="0"/>
    <xf numFmtId="0" fontId="49" fillId="0" borderId="0"/>
    <xf numFmtId="0" fontId="44" fillId="0" borderId="0"/>
    <xf numFmtId="0" fontId="57" fillId="0" borderId="0"/>
    <xf numFmtId="0" fontId="58" fillId="0" borderId="0"/>
    <xf numFmtId="0" fontId="49" fillId="0" borderId="0"/>
    <xf numFmtId="0" fontId="44" fillId="0" borderId="0"/>
    <xf numFmtId="0" fontId="49" fillId="0" borderId="0"/>
    <xf numFmtId="0" fontId="44" fillId="0" borderId="0"/>
    <xf numFmtId="0" fontId="57" fillId="0" borderId="0"/>
    <xf numFmtId="0" fontId="58" fillId="0" borderId="0"/>
    <xf numFmtId="0" fontId="49" fillId="0" borderId="0"/>
    <xf numFmtId="0" fontId="44" fillId="0" borderId="0"/>
    <xf numFmtId="0" fontId="57" fillId="0" borderId="0"/>
    <xf numFmtId="0" fontId="58" fillId="0" borderId="0"/>
    <xf numFmtId="0" fontId="49" fillId="0" borderId="0"/>
    <xf numFmtId="0" fontId="44" fillId="0" borderId="0"/>
    <xf numFmtId="0" fontId="49" fillId="0" borderId="0"/>
    <xf numFmtId="0" fontId="44" fillId="0" borderId="0"/>
    <xf numFmtId="0" fontId="49" fillId="0" borderId="0"/>
    <xf numFmtId="0" fontId="44" fillId="0" borderId="0"/>
    <xf numFmtId="0" fontId="57" fillId="0" borderId="0"/>
    <xf numFmtId="0" fontId="58" fillId="0" borderId="0"/>
    <xf numFmtId="0" fontId="49" fillId="0" borderId="0"/>
    <xf numFmtId="0" fontId="44" fillId="0" borderId="0"/>
    <xf numFmtId="0" fontId="57" fillId="0" borderId="0"/>
    <xf numFmtId="0" fontId="58" fillId="0" borderId="0"/>
    <xf numFmtId="0" fontId="49" fillId="0" borderId="0"/>
    <xf numFmtId="0" fontId="44" fillId="0" borderId="0"/>
    <xf numFmtId="0" fontId="49" fillId="0" borderId="0"/>
    <xf numFmtId="0" fontId="44" fillId="0" borderId="0"/>
    <xf numFmtId="0" fontId="49" fillId="0" borderId="0"/>
    <xf numFmtId="0" fontId="44" fillId="0" borderId="0"/>
    <xf numFmtId="0" fontId="57" fillId="0" borderId="0"/>
    <xf numFmtId="0" fontId="58" fillId="0" borderId="0"/>
    <xf numFmtId="0" fontId="57" fillId="0" borderId="0"/>
    <xf numFmtId="0" fontId="58" fillId="0" borderId="0"/>
    <xf numFmtId="0" fontId="49" fillId="0" borderId="0"/>
    <xf numFmtId="0" fontId="44" fillId="0" borderId="0"/>
    <xf numFmtId="0" fontId="57" fillId="0" borderId="0"/>
    <xf numFmtId="0" fontId="58" fillId="0" borderId="0"/>
    <xf numFmtId="0" fontId="49" fillId="0" borderId="0"/>
    <xf numFmtId="0" fontId="44" fillId="0" borderId="0"/>
    <xf numFmtId="0" fontId="49" fillId="0" borderId="0"/>
    <xf numFmtId="0" fontId="44" fillId="0" borderId="0"/>
    <xf numFmtId="0" fontId="57" fillId="0" borderId="0"/>
    <xf numFmtId="0" fontId="58" fillId="0" borderId="0"/>
    <xf numFmtId="0" fontId="49" fillId="0" borderId="0"/>
    <xf numFmtId="0" fontId="44" fillId="0" borderId="0"/>
    <xf numFmtId="0" fontId="57" fillId="0" borderId="0"/>
    <xf numFmtId="0" fontId="58" fillId="0" borderId="0"/>
    <xf numFmtId="0" fontId="49" fillId="0" borderId="0"/>
    <xf numFmtId="0" fontId="44" fillId="0" borderId="0"/>
    <xf numFmtId="0" fontId="49" fillId="0" borderId="0"/>
    <xf numFmtId="0" fontId="44" fillId="0" borderId="0"/>
    <xf numFmtId="0" fontId="49" fillId="0" borderId="0"/>
    <xf numFmtId="0" fontId="44" fillId="0" borderId="0"/>
    <xf numFmtId="0" fontId="57" fillId="0" borderId="0"/>
    <xf numFmtId="0" fontId="58" fillId="0" borderId="0"/>
    <xf numFmtId="0" fontId="49" fillId="0" borderId="0"/>
    <xf numFmtId="0" fontId="44" fillId="0" borderId="0"/>
    <xf numFmtId="0" fontId="57" fillId="0" borderId="0"/>
    <xf numFmtId="0" fontId="58" fillId="0" borderId="0"/>
    <xf numFmtId="0" fontId="49" fillId="0" borderId="0"/>
    <xf numFmtId="0" fontId="44" fillId="0" borderId="0"/>
    <xf numFmtId="0" fontId="49" fillId="0" borderId="0"/>
    <xf numFmtId="0" fontId="44" fillId="0" borderId="0"/>
    <xf numFmtId="0" fontId="49" fillId="0" borderId="0"/>
    <xf numFmtId="0" fontId="44" fillId="0" borderId="0"/>
    <xf numFmtId="0" fontId="57" fillId="0" borderId="0"/>
    <xf numFmtId="0" fontId="58" fillId="0" borderId="0"/>
    <xf numFmtId="0" fontId="57" fillId="0" borderId="0"/>
    <xf numFmtId="0" fontId="58" fillId="0" borderId="0"/>
    <xf numFmtId="0" fontId="49" fillId="0" borderId="0"/>
    <xf numFmtId="0" fontId="44" fillId="0" borderId="0"/>
    <xf numFmtId="0" fontId="57" fillId="0" borderId="0"/>
    <xf numFmtId="0" fontId="58" fillId="0" borderId="0"/>
    <xf numFmtId="0" fontId="49" fillId="0" borderId="0"/>
    <xf numFmtId="0" fontId="44" fillId="0" borderId="0"/>
    <xf numFmtId="0" fontId="49" fillId="0" borderId="0"/>
    <xf numFmtId="0" fontId="44" fillId="0" borderId="0"/>
    <xf numFmtId="0" fontId="57" fillId="0" borderId="0"/>
    <xf numFmtId="0" fontId="58" fillId="0" borderId="0"/>
    <xf numFmtId="0" fontId="49" fillId="0" borderId="0"/>
    <xf numFmtId="0" fontId="44" fillId="0" borderId="0"/>
    <xf numFmtId="0" fontId="57" fillId="0" borderId="0"/>
    <xf numFmtId="0" fontId="58" fillId="0" borderId="0"/>
    <xf numFmtId="0" fontId="49" fillId="0" borderId="0"/>
    <xf numFmtId="0" fontId="44" fillId="0" borderId="0"/>
    <xf numFmtId="0" fontId="49" fillId="0" borderId="0"/>
    <xf numFmtId="0" fontId="44" fillId="0" borderId="0"/>
    <xf numFmtId="0" fontId="49" fillId="0" borderId="0"/>
    <xf numFmtId="0" fontId="44" fillId="0" borderId="0"/>
    <xf numFmtId="0" fontId="57" fillId="0" borderId="0"/>
    <xf numFmtId="0" fontId="58" fillId="0" borderId="0"/>
    <xf numFmtId="0" fontId="49" fillId="0" borderId="0"/>
    <xf numFmtId="0" fontId="44" fillId="0" borderId="0"/>
    <xf numFmtId="0" fontId="57" fillId="0" borderId="0"/>
    <xf numFmtId="0" fontId="58" fillId="0" borderId="0"/>
    <xf numFmtId="0" fontId="49" fillId="0" borderId="0"/>
    <xf numFmtId="0" fontId="44" fillId="0" borderId="0"/>
    <xf numFmtId="0" fontId="49" fillId="0" borderId="0"/>
    <xf numFmtId="0" fontId="44" fillId="0" borderId="0"/>
    <xf numFmtId="0" fontId="49" fillId="0" borderId="0"/>
    <xf numFmtId="0" fontId="44" fillId="0" borderId="0"/>
    <xf numFmtId="0" fontId="57" fillId="0" borderId="0"/>
    <xf numFmtId="0" fontId="58" fillId="0" borderId="0"/>
    <xf numFmtId="0" fontId="57" fillId="0" borderId="0"/>
    <xf numFmtId="0" fontId="58" fillId="0" borderId="0"/>
    <xf numFmtId="0" fontId="49" fillId="0" borderId="0"/>
    <xf numFmtId="0" fontId="44" fillId="0" borderId="0"/>
    <xf numFmtId="0" fontId="57" fillId="0" borderId="0"/>
    <xf numFmtId="0" fontId="58" fillId="0" borderId="0"/>
    <xf numFmtId="0" fontId="49" fillId="0" borderId="0"/>
    <xf numFmtId="0" fontId="44" fillId="0" borderId="0"/>
    <xf numFmtId="0" fontId="49" fillId="0" borderId="0"/>
    <xf numFmtId="0" fontId="44" fillId="0" borderId="0"/>
    <xf numFmtId="0" fontId="57" fillId="0" borderId="0"/>
    <xf numFmtId="0" fontId="58" fillId="0" borderId="0"/>
    <xf numFmtId="0" fontId="49" fillId="0" borderId="0"/>
    <xf numFmtId="0" fontId="44" fillId="0" borderId="0"/>
    <xf numFmtId="0" fontId="57" fillId="0" borderId="0"/>
    <xf numFmtId="0" fontId="58" fillId="0" borderId="0"/>
    <xf numFmtId="0" fontId="49" fillId="0" borderId="0"/>
    <xf numFmtId="0" fontId="44" fillId="0" borderId="0"/>
    <xf numFmtId="0" fontId="49" fillId="0" borderId="0"/>
    <xf numFmtId="0" fontId="44" fillId="0" borderId="0"/>
    <xf numFmtId="0" fontId="49" fillId="0" borderId="0"/>
    <xf numFmtId="0" fontId="44" fillId="0" borderId="0"/>
    <xf numFmtId="0" fontId="57" fillId="0" borderId="0"/>
    <xf numFmtId="0" fontId="58" fillId="0" borderId="0"/>
    <xf numFmtId="0" fontId="49" fillId="0" borderId="0"/>
    <xf numFmtId="0" fontId="44" fillId="0" borderId="0"/>
    <xf numFmtId="0" fontId="57" fillId="0" borderId="0"/>
    <xf numFmtId="0" fontId="58" fillId="0" borderId="0"/>
    <xf numFmtId="0" fontId="49" fillId="0" borderId="0"/>
    <xf numFmtId="0" fontId="44" fillId="0" borderId="0"/>
    <xf numFmtId="0" fontId="49" fillId="0" borderId="0"/>
    <xf numFmtId="0" fontId="44" fillId="0" borderId="0"/>
    <xf numFmtId="0" fontId="49" fillId="0" borderId="0"/>
    <xf numFmtId="0" fontId="44" fillId="0" borderId="0"/>
    <xf numFmtId="0" fontId="57" fillId="0" borderId="0"/>
    <xf numFmtId="0" fontId="58" fillId="0" borderId="0"/>
    <xf numFmtId="0" fontId="57" fillId="0" borderId="0"/>
    <xf numFmtId="0" fontId="58" fillId="0" borderId="0"/>
    <xf numFmtId="0" fontId="49" fillId="0" borderId="0"/>
    <xf numFmtId="0" fontId="44" fillId="0" borderId="0"/>
    <xf numFmtId="0" fontId="59" fillId="0" borderId="0"/>
    <xf numFmtId="0" fontId="44" fillId="0" borderId="0"/>
    <xf numFmtId="0" fontId="57" fillId="0" borderId="0"/>
    <xf numFmtId="0" fontId="58" fillId="0" borderId="0"/>
    <xf numFmtId="0" fontId="49" fillId="0" borderId="0"/>
    <xf numFmtId="0" fontId="44" fillId="0" borderId="0"/>
    <xf numFmtId="0" fontId="49" fillId="0" borderId="0"/>
    <xf numFmtId="0" fontId="44" fillId="0" borderId="0"/>
    <xf numFmtId="0" fontId="57" fillId="0" borderId="0"/>
    <xf numFmtId="0" fontId="58" fillId="0" borderId="0"/>
    <xf numFmtId="0" fontId="49" fillId="0" borderId="0"/>
    <xf numFmtId="0" fontId="44" fillId="0" borderId="0"/>
    <xf numFmtId="0" fontId="57" fillId="0" borderId="0"/>
    <xf numFmtId="0" fontId="58" fillId="0" borderId="0"/>
    <xf numFmtId="0" fontId="49" fillId="0" borderId="0"/>
    <xf numFmtId="0" fontId="44" fillId="0" borderId="0"/>
    <xf numFmtId="0" fontId="49" fillId="0" borderId="0"/>
    <xf numFmtId="0" fontId="44" fillId="0" borderId="0"/>
    <xf numFmtId="0" fontId="49" fillId="0" borderId="0"/>
    <xf numFmtId="0" fontId="44" fillId="0" borderId="0"/>
    <xf numFmtId="0" fontId="57" fillId="0" borderId="0"/>
    <xf numFmtId="0" fontId="58" fillId="0" borderId="0"/>
    <xf numFmtId="0" fontId="49" fillId="0" borderId="0"/>
    <xf numFmtId="0" fontId="44" fillId="0" borderId="0"/>
    <xf numFmtId="0" fontId="57" fillId="0" borderId="0"/>
    <xf numFmtId="0" fontId="58" fillId="0" borderId="0"/>
    <xf numFmtId="0" fontId="49" fillId="0" borderId="0"/>
    <xf numFmtId="0" fontId="44" fillId="0" borderId="0"/>
    <xf numFmtId="0" fontId="49" fillId="0" borderId="0"/>
    <xf numFmtId="0" fontId="44" fillId="0" borderId="0"/>
    <xf numFmtId="0" fontId="49" fillId="0" borderId="0"/>
    <xf numFmtId="0" fontId="44" fillId="0" borderId="0"/>
    <xf numFmtId="0" fontId="57" fillId="0" borderId="0"/>
    <xf numFmtId="0" fontId="58" fillId="0" borderId="0"/>
    <xf numFmtId="0" fontId="57" fillId="0" borderId="0"/>
    <xf numFmtId="0" fontId="58" fillId="0" borderId="0"/>
    <xf numFmtId="0" fontId="49" fillId="0" borderId="0"/>
    <xf numFmtId="0" fontId="44" fillId="0" borderId="0"/>
    <xf numFmtId="0" fontId="57" fillId="0" borderId="0"/>
    <xf numFmtId="0" fontId="58" fillId="0" borderId="0"/>
    <xf numFmtId="0" fontId="49" fillId="0" borderId="0"/>
    <xf numFmtId="0" fontId="44" fillId="0" borderId="0"/>
    <xf numFmtId="0" fontId="49" fillId="0" borderId="0"/>
    <xf numFmtId="0" fontId="44" fillId="0" borderId="0"/>
    <xf numFmtId="0" fontId="57" fillId="0" borderId="0"/>
    <xf numFmtId="0" fontId="58" fillId="0" borderId="0"/>
    <xf numFmtId="0" fontId="49" fillId="0" borderId="0"/>
    <xf numFmtId="0" fontId="44" fillId="0" borderId="0"/>
    <xf numFmtId="0" fontId="57" fillId="0" borderId="0"/>
    <xf numFmtId="0" fontId="58" fillId="0" borderId="0"/>
    <xf numFmtId="0" fontId="49" fillId="0" borderId="0"/>
    <xf numFmtId="0" fontId="44" fillId="0" borderId="0"/>
    <xf numFmtId="0" fontId="49" fillId="0" borderId="0"/>
    <xf numFmtId="0" fontId="44" fillId="0" borderId="0"/>
    <xf numFmtId="0" fontId="49" fillId="0" borderId="0"/>
    <xf numFmtId="0" fontId="44" fillId="0" borderId="0"/>
    <xf numFmtId="0" fontId="57" fillId="0" borderId="0"/>
    <xf numFmtId="0" fontId="58" fillId="0" borderId="0"/>
    <xf numFmtId="0" fontId="49" fillId="0" borderId="0"/>
    <xf numFmtId="0" fontId="44" fillId="0" borderId="0"/>
    <xf numFmtId="0" fontId="57" fillId="0" borderId="0"/>
    <xf numFmtId="0" fontId="58" fillId="0" borderId="0"/>
    <xf numFmtId="0" fontId="49" fillId="0" borderId="0"/>
    <xf numFmtId="0" fontId="44" fillId="0" borderId="0"/>
    <xf numFmtId="0" fontId="49" fillId="0" borderId="0"/>
    <xf numFmtId="0" fontId="44" fillId="0" borderId="0"/>
    <xf numFmtId="0" fontId="49" fillId="0" borderId="0"/>
    <xf numFmtId="0" fontId="44" fillId="0" borderId="0"/>
    <xf numFmtId="0" fontId="57" fillId="0" borderId="0"/>
    <xf numFmtId="0" fontId="58" fillId="0" borderId="0"/>
    <xf numFmtId="0" fontId="57" fillId="0" borderId="0"/>
    <xf numFmtId="0" fontId="58" fillId="0" borderId="0"/>
    <xf numFmtId="0" fontId="49" fillId="0" borderId="0"/>
    <xf numFmtId="0" fontId="44" fillId="0" borderId="0"/>
    <xf numFmtId="0" fontId="57" fillId="0" borderId="0"/>
    <xf numFmtId="0" fontId="58" fillId="0" borderId="0"/>
    <xf numFmtId="0" fontId="49" fillId="0" borderId="0"/>
    <xf numFmtId="0" fontId="44" fillId="0" borderId="0"/>
    <xf numFmtId="0" fontId="49" fillId="0" borderId="0"/>
    <xf numFmtId="0" fontId="44" fillId="0" borderId="0"/>
    <xf numFmtId="0" fontId="57" fillId="0" borderId="0"/>
    <xf numFmtId="0" fontId="58" fillId="0" borderId="0"/>
    <xf numFmtId="0" fontId="49" fillId="0" borderId="0"/>
    <xf numFmtId="0" fontId="44" fillId="0" borderId="0"/>
    <xf numFmtId="0" fontId="57" fillId="0" borderId="0"/>
    <xf numFmtId="0" fontId="58" fillId="0" borderId="0"/>
    <xf numFmtId="0" fontId="49" fillId="0" borderId="0"/>
    <xf numFmtId="0" fontId="44" fillId="0" borderId="0"/>
    <xf numFmtId="0" fontId="49" fillId="0" borderId="0"/>
    <xf numFmtId="0" fontId="44" fillId="0" borderId="0"/>
    <xf numFmtId="0" fontId="49" fillId="0" borderId="0"/>
    <xf numFmtId="0" fontId="44" fillId="0" borderId="0"/>
    <xf numFmtId="0" fontId="57" fillId="0" borderId="0"/>
    <xf numFmtId="0" fontId="58" fillId="0" borderId="0"/>
    <xf numFmtId="0" fontId="49" fillId="0" borderId="0"/>
    <xf numFmtId="0" fontId="44" fillId="0" borderId="0"/>
    <xf numFmtId="0" fontId="57" fillId="0" borderId="0"/>
    <xf numFmtId="0" fontId="58" fillId="0" borderId="0"/>
    <xf numFmtId="0" fontId="49" fillId="0" borderId="0"/>
    <xf numFmtId="0" fontId="44" fillId="0" borderId="0"/>
    <xf numFmtId="0" fontId="49" fillId="0" borderId="0"/>
    <xf numFmtId="0" fontId="44" fillId="0" borderId="0"/>
    <xf numFmtId="0" fontId="49" fillId="0" borderId="0"/>
    <xf numFmtId="0" fontId="44" fillId="0" borderId="0"/>
    <xf numFmtId="0" fontId="57" fillId="0" borderId="0"/>
    <xf numFmtId="0" fontId="58" fillId="0" borderId="0"/>
    <xf numFmtId="0" fontId="57" fillId="0" borderId="0"/>
    <xf numFmtId="0" fontId="58" fillId="0" borderId="0"/>
    <xf numFmtId="0" fontId="49" fillId="0" borderId="0"/>
    <xf numFmtId="0" fontId="44" fillId="0" borderId="0"/>
    <xf numFmtId="0" fontId="57" fillId="0" borderId="0"/>
    <xf numFmtId="0" fontId="58" fillId="0" borderId="0"/>
    <xf numFmtId="0" fontId="49" fillId="0" borderId="0"/>
    <xf numFmtId="0" fontId="44" fillId="0" borderId="0"/>
    <xf numFmtId="0" fontId="49" fillId="0" borderId="0"/>
    <xf numFmtId="0" fontId="44" fillId="0" borderId="0"/>
    <xf numFmtId="0" fontId="57" fillId="0" borderId="0"/>
    <xf numFmtId="0" fontId="58" fillId="0" borderId="0"/>
    <xf numFmtId="0" fontId="49" fillId="0" borderId="0"/>
    <xf numFmtId="0" fontId="44" fillId="0" borderId="0"/>
    <xf numFmtId="0" fontId="57" fillId="0" borderId="0"/>
    <xf numFmtId="0" fontId="58" fillId="0" borderId="0"/>
    <xf numFmtId="0" fontId="49" fillId="0" borderId="0"/>
    <xf numFmtId="0" fontId="44" fillId="0" borderId="0"/>
    <xf numFmtId="0" fontId="49" fillId="0" borderId="0"/>
    <xf numFmtId="0" fontId="44" fillId="0" borderId="0"/>
    <xf numFmtId="0" fontId="49" fillId="0" borderId="0"/>
    <xf numFmtId="0" fontId="44" fillId="0" borderId="0"/>
    <xf numFmtId="0" fontId="57" fillId="0" borderId="0"/>
    <xf numFmtId="0" fontId="58" fillId="0" borderId="0"/>
    <xf numFmtId="0" fontId="49" fillId="0" borderId="0"/>
    <xf numFmtId="0" fontId="44" fillId="0" borderId="0"/>
    <xf numFmtId="0" fontId="57" fillId="0" borderId="0"/>
    <xf numFmtId="0" fontId="58" fillId="0" borderId="0"/>
    <xf numFmtId="0" fontId="49" fillId="0" borderId="0"/>
    <xf numFmtId="0" fontId="44" fillId="0" borderId="0"/>
    <xf numFmtId="0" fontId="49" fillId="0" borderId="0"/>
    <xf numFmtId="0" fontId="44" fillId="0" borderId="0"/>
    <xf numFmtId="0" fontId="49" fillId="0" borderId="0"/>
    <xf numFmtId="0" fontId="44" fillId="0" borderId="0"/>
    <xf numFmtId="0" fontId="57" fillId="0" borderId="0"/>
    <xf numFmtId="0" fontId="58" fillId="0" borderId="0"/>
    <xf numFmtId="0" fontId="57" fillId="0" borderId="0"/>
    <xf numFmtId="0" fontId="58" fillId="0" borderId="0"/>
    <xf numFmtId="0" fontId="49" fillId="0" borderId="0"/>
    <xf numFmtId="0" fontId="44" fillId="0" borderId="0"/>
    <xf numFmtId="0" fontId="57" fillId="0" borderId="0"/>
    <xf numFmtId="0" fontId="58" fillId="0" borderId="0"/>
    <xf numFmtId="0" fontId="49" fillId="0" borderId="0"/>
    <xf numFmtId="0" fontId="44" fillId="0" borderId="0"/>
    <xf numFmtId="0" fontId="49" fillId="0" borderId="0"/>
    <xf numFmtId="0" fontId="44" fillId="0" borderId="0"/>
    <xf numFmtId="0" fontId="57" fillId="0" borderId="0"/>
    <xf numFmtId="0" fontId="58" fillId="0" borderId="0"/>
    <xf numFmtId="0" fontId="49" fillId="0" borderId="0"/>
    <xf numFmtId="0" fontId="44" fillId="0" borderId="0"/>
    <xf numFmtId="0" fontId="57" fillId="0" borderId="0"/>
    <xf numFmtId="0" fontId="58" fillId="0" borderId="0"/>
    <xf numFmtId="0" fontId="49" fillId="0" borderId="0"/>
    <xf numFmtId="0" fontId="44" fillId="0" borderId="0"/>
    <xf numFmtId="0" fontId="49" fillId="0" borderId="0"/>
    <xf numFmtId="0" fontId="44" fillId="0" borderId="0"/>
    <xf numFmtId="0" fontId="49" fillId="0" borderId="0"/>
    <xf numFmtId="0" fontId="44" fillId="0" borderId="0"/>
    <xf numFmtId="0" fontId="57" fillId="0" borderId="0"/>
    <xf numFmtId="0" fontId="58" fillId="0" borderId="0"/>
    <xf numFmtId="0" fontId="49" fillId="0" borderId="0"/>
    <xf numFmtId="0" fontId="44" fillId="0" borderId="0"/>
    <xf numFmtId="0" fontId="57" fillId="0" borderId="0"/>
    <xf numFmtId="0" fontId="58" fillId="0" borderId="0"/>
    <xf numFmtId="0" fontId="49" fillId="0" borderId="0"/>
    <xf numFmtId="0" fontId="44" fillId="0" borderId="0"/>
    <xf numFmtId="0" fontId="49" fillId="0" borderId="0"/>
    <xf numFmtId="0" fontId="44" fillId="0" borderId="0"/>
    <xf numFmtId="0" fontId="49" fillId="0" borderId="0"/>
    <xf numFmtId="0" fontId="44" fillId="0" borderId="0"/>
    <xf numFmtId="0" fontId="57" fillId="0" borderId="0"/>
    <xf numFmtId="0" fontId="58" fillId="0" borderId="0"/>
    <xf numFmtId="0" fontId="57" fillId="0" borderId="0"/>
    <xf numFmtId="0" fontId="58" fillId="0" borderId="0"/>
    <xf numFmtId="0" fontId="49" fillId="0" borderId="0"/>
    <xf numFmtId="0" fontId="44" fillId="0" borderId="0"/>
    <xf numFmtId="0" fontId="57" fillId="0" borderId="0"/>
    <xf numFmtId="0" fontId="58" fillId="0" borderId="0"/>
    <xf numFmtId="0" fontId="49" fillId="0" borderId="0"/>
    <xf numFmtId="0" fontId="44" fillId="0" borderId="0"/>
    <xf numFmtId="0" fontId="49" fillId="0" borderId="0"/>
    <xf numFmtId="0" fontId="44" fillId="0" borderId="0"/>
    <xf numFmtId="0" fontId="57" fillId="0" borderId="0"/>
    <xf numFmtId="0" fontId="58" fillId="0" borderId="0"/>
    <xf numFmtId="0" fontId="49" fillId="0" borderId="0"/>
    <xf numFmtId="0" fontId="44" fillId="0" borderId="0"/>
    <xf numFmtId="0" fontId="57" fillId="0" borderId="0"/>
    <xf numFmtId="0" fontId="58" fillId="0" borderId="0"/>
    <xf numFmtId="0" fontId="49" fillId="0" borderId="0"/>
    <xf numFmtId="0" fontId="44" fillId="0" borderId="0"/>
    <xf numFmtId="0" fontId="49" fillId="0" borderId="0"/>
    <xf numFmtId="0" fontId="44" fillId="0" borderId="0"/>
    <xf numFmtId="0" fontId="49" fillId="0" borderId="0"/>
    <xf numFmtId="0" fontId="44" fillId="0" borderId="0"/>
    <xf numFmtId="0" fontId="57" fillId="0" borderId="0"/>
    <xf numFmtId="0" fontId="58" fillId="0" borderId="0"/>
    <xf numFmtId="0" fontId="49" fillId="0" borderId="0"/>
    <xf numFmtId="0" fontId="44" fillId="0" borderId="0"/>
    <xf numFmtId="0" fontId="57" fillId="0" borderId="0"/>
    <xf numFmtId="0" fontId="58" fillId="0" borderId="0"/>
    <xf numFmtId="0" fontId="49" fillId="0" borderId="0"/>
    <xf numFmtId="0" fontId="44" fillId="0" borderId="0"/>
    <xf numFmtId="0" fontId="49" fillId="0" borderId="0"/>
    <xf numFmtId="0" fontId="44" fillId="0" borderId="0"/>
    <xf numFmtId="0" fontId="49" fillId="0" borderId="0"/>
    <xf numFmtId="0" fontId="44" fillId="0" borderId="0"/>
    <xf numFmtId="0" fontId="57" fillId="0" borderId="0"/>
    <xf numFmtId="0" fontId="58" fillId="0" borderId="0"/>
    <xf numFmtId="0" fontId="57" fillId="0" borderId="0"/>
    <xf numFmtId="0" fontId="58" fillId="0" borderId="0"/>
    <xf numFmtId="0" fontId="49" fillId="0" borderId="0"/>
    <xf numFmtId="0" fontId="44" fillId="0" borderId="0"/>
    <xf numFmtId="0" fontId="57" fillId="0" borderId="0"/>
    <xf numFmtId="0" fontId="58" fillId="0" borderId="0"/>
    <xf numFmtId="0" fontId="49" fillId="0" borderId="0"/>
    <xf numFmtId="0" fontId="44" fillId="0" borderId="0"/>
    <xf numFmtId="0" fontId="49" fillId="0" borderId="0"/>
    <xf numFmtId="0" fontId="44" fillId="0" borderId="0"/>
    <xf numFmtId="0" fontId="57" fillId="0" borderId="0"/>
    <xf numFmtId="0" fontId="58" fillId="0" borderId="0"/>
    <xf numFmtId="0" fontId="49" fillId="0" borderId="0"/>
    <xf numFmtId="0" fontId="44" fillId="0" borderId="0"/>
    <xf numFmtId="0" fontId="57" fillId="0" borderId="0"/>
    <xf numFmtId="0" fontId="58" fillId="0" borderId="0"/>
    <xf numFmtId="0" fontId="49" fillId="0" borderId="0"/>
    <xf numFmtId="0" fontId="44" fillId="0" borderId="0"/>
    <xf numFmtId="0" fontId="49" fillId="0" borderId="0"/>
    <xf numFmtId="0" fontId="44" fillId="0" borderId="0"/>
    <xf numFmtId="0" fontId="49" fillId="0" borderId="0"/>
    <xf numFmtId="0" fontId="44" fillId="0" borderId="0"/>
    <xf numFmtId="0" fontId="57" fillId="0" borderId="0"/>
    <xf numFmtId="0" fontId="58" fillId="0" borderId="0"/>
    <xf numFmtId="0" fontId="49" fillId="0" borderId="0"/>
    <xf numFmtId="0" fontId="44" fillId="0" borderId="0"/>
    <xf numFmtId="0" fontId="57" fillId="0" borderId="0"/>
    <xf numFmtId="0" fontId="58" fillId="0" borderId="0"/>
    <xf numFmtId="0" fontId="49" fillId="0" borderId="0"/>
    <xf numFmtId="0" fontId="44" fillId="0" borderId="0"/>
    <xf numFmtId="0" fontId="49" fillId="0" borderId="0"/>
    <xf numFmtId="0" fontId="44" fillId="0" borderId="0"/>
    <xf numFmtId="0" fontId="49" fillId="0" borderId="0"/>
    <xf numFmtId="0" fontId="44" fillId="0" borderId="0"/>
    <xf numFmtId="0" fontId="57" fillId="0" borderId="0"/>
    <xf numFmtId="0" fontId="58" fillId="0" borderId="0"/>
    <xf numFmtId="0" fontId="57" fillId="0" borderId="0"/>
    <xf numFmtId="0" fontId="58" fillId="0" borderId="0"/>
    <xf numFmtId="0" fontId="49" fillId="0" borderId="0"/>
    <xf numFmtId="0" fontId="44" fillId="0" borderId="0"/>
    <xf numFmtId="0" fontId="57" fillId="0" borderId="0"/>
    <xf numFmtId="0" fontId="58" fillId="0" borderId="0"/>
    <xf numFmtId="0" fontId="49" fillId="0" borderId="0"/>
    <xf numFmtId="0" fontId="44" fillId="0" borderId="0"/>
    <xf numFmtId="0" fontId="49" fillId="0" borderId="0"/>
    <xf numFmtId="0" fontId="44" fillId="0" borderId="0"/>
    <xf numFmtId="0" fontId="57" fillId="0" borderId="0"/>
    <xf numFmtId="0" fontId="58" fillId="0" borderId="0"/>
    <xf numFmtId="0" fontId="49" fillId="0" borderId="0"/>
    <xf numFmtId="0" fontId="44" fillId="0" borderId="0"/>
    <xf numFmtId="0" fontId="57" fillId="0" borderId="0"/>
    <xf numFmtId="0" fontId="58" fillId="0" borderId="0"/>
    <xf numFmtId="0" fontId="49" fillId="0" borderId="0"/>
    <xf numFmtId="0" fontId="44" fillId="0" borderId="0"/>
    <xf numFmtId="0" fontId="49" fillId="0" borderId="0"/>
    <xf numFmtId="0" fontId="44" fillId="0" borderId="0"/>
    <xf numFmtId="0" fontId="49" fillId="0" borderId="0"/>
    <xf numFmtId="0" fontId="44" fillId="0" borderId="0"/>
    <xf numFmtId="0" fontId="57" fillId="0" borderId="0"/>
    <xf numFmtId="0" fontId="58" fillId="0" borderId="0"/>
    <xf numFmtId="0" fontId="49" fillId="0" borderId="0"/>
    <xf numFmtId="0" fontId="44" fillId="0" borderId="0"/>
    <xf numFmtId="0" fontId="57" fillId="0" borderId="0"/>
    <xf numFmtId="0" fontId="58" fillId="0" borderId="0"/>
    <xf numFmtId="0" fontId="49" fillId="0" borderId="0"/>
    <xf numFmtId="0" fontId="44" fillId="0" borderId="0"/>
    <xf numFmtId="0" fontId="49" fillId="0" borderId="0"/>
    <xf numFmtId="0" fontId="44" fillId="0" borderId="0"/>
    <xf numFmtId="0" fontId="49" fillId="0" borderId="0"/>
    <xf numFmtId="0" fontId="44" fillId="0" borderId="0"/>
    <xf numFmtId="0" fontId="57" fillId="0" borderId="0"/>
    <xf numFmtId="0" fontId="58" fillId="0" borderId="0"/>
    <xf numFmtId="0" fontId="57" fillId="0" borderId="0"/>
    <xf numFmtId="0" fontId="58" fillId="0" borderId="0"/>
    <xf numFmtId="0" fontId="49" fillId="0" borderId="0"/>
    <xf numFmtId="0" fontId="44" fillId="0" borderId="0"/>
    <xf numFmtId="0" fontId="57" fillId="0" borderId="0"/>
    <xf numFmtId="0" fontId="58" fillId="0" borderId="0"/>
    <xf numFmtId="0" fontId="49" fillId="0" borderId="0"/>
    <xf numFmtId="0" fontId="44" fillId="0" borderId="0"/>
    <xf numFmtId="0" fontId="49" fillId="0" borderId="0"/>
    <xf numFmtId="0" fontId="44" fillId="0" borderId="0"/>
    <xf numFmtId="0" fontId="57" fillId="0" borderId="0"/>
    <xf numFmtId="0" fontId="58" fillId="0" borderId="0"/>
    <xf numFmtId="0" fontId="49" fillId="0" borderId="0"/>
    <xf numFmtId="0" fontId="44" fillId="0" borderId="0"/>
    <xf numFmtId="0" fontId="57" fillId="0" borderId="0"/>
    <xf numFmtId="0" fontId="58" fillId="0" borderId="0"/>
    <xf numFmtId="0" fontId="49" fillId="0" borderId="0"/>
    <xf numFmtId="0" fontId="44" fillId="0" borderId="0"/>
    <xf numFmtId="0" fontId="49" fillId="0" borderId="0"/>
    <xf numFmtId="0" fontId="44" fillId="0" borderId="0"/>
    <xf numFmtId="0" fontId="49" fillId="0" borderId="0"/>
    <xf numFmtId="0" fontId="44" fillId="0" borderId="0"/>
    <xf numFmtId="0" fontId="57" fillId="0" borderId="0"/>
    <xf numFmtId="0" fontId="58" fillId="0" borderId="0"/>
    <xf numFmtId="0" fontId="49" fillId="0" borderId="0"/>
    <xf numFmtId="0" fontId="44" fillId="0" borderId="0"/>
    <xf numFmtId="0" fontId="57" fillId="0" borderId="0"/>
    <xf numFmtId="0" fontId="58" fillId="0" borderId="0"/>
    <xf numFmtId="0" fontId="49" fillId="0" borderId="0"/>
    <xf numFmtId="0" fontId="44" fillId="0" borderId="0"/>
    <xf numFmtId="0" fontId="49" fillId="0" borderId="0"/>
    <xf numFmtId="0" fontId="44" fillId="0" borderId="0"/>
    <xf numFmtId="0" fontId="49" fillId="0" borderId="0"/>
    <xf numFmtId="0" fontId="44" fillId="0" borderId="0"/>
    <xf numFmtId="0" fontId="57" fillId="0" borderId="0"/>
    <xf numFmtId="0" fontId="58" fillId="0" borderId="0"/>
    <xf numFmtId="0" fontId="57" fillId="0" borderId="0"/>
    <xf numFmtId="0" fontId="58" fillId="0" borderId="0"/>
    <xf numFmtId="0" fontId="49" fillId="0" borderId="0"/>
    <xf numFmtId="0" fontId="44" fillId="0" borderId="0"/>
    <xf numFmtId="0" fontId="57" fillId="0" borderId="0"/>
    <xf numFmtId="0" fontId="58" fillId="0" borderId="0"/>
    <xf numFmtId="0" fontId="49" fillId="0" borderId="0"/>
    <xf numFmtId="0" fontId="44" fillId="0" borderId="0"/>
    <xf numFmtId="0" fontId="49" fillId="0" borderId="0"/>
    <xf numFmtId="0" fontId="44" fillId="0" borderId="0"/>
    <xf numFmtId="0" fontId="57" fillId="0" borderId="0"/>
    <xf numFmtId="0" fontId="58" fillId="0" borderId="0"/>
    <xf numFmtId="0" fontId="49" fillId="0" borderId="0"/>
    <xf numFmtId="0" fontId="44" fillId="0" borderId="0"/>
    <xf numFmtId="0" fontId="57" fillId="0" borderId="0"/>
    <xf numFmtId="0" fontId="58" fillId="0" borderId="0"/>
    <xf numFmtId="0" fontId="49" fillId="0" borderId="0"/>
    <xf numFmtId="0" fontId="44" fillId="0" borderId="0"/>
    <xf numFmtId="0" fontId="49" fillId="0" borderId="0"/>
    <xf numFmtId="0" fontId="44" fillId="0" borderId="0"/>
    <xf numFmtId="0" fontId="49" fillId="0" borderId="0"/>
    <xf numFmtId="0" fontId="44" fillId="0" borderId="0"/>
    <xf numFmtId="0" fontId="57" fillId="0" borderId="0"/>
    <xf numFmtId="0" fontId="58" fillId="0" borderId="0"/>
    <xf numFmtId="0" fontId="49" fillId="0" borderId="0"/>
    <xf numFmtId="0" fontId="44" fillId="0" borderId="0"/>
    <xf numFmtId="0" fontId="57" fillId="0" borderId="0"/>
    <xf numFmtId="0" fontId="58" fillId="0" borderId="0"/>
    <xf numFmtId="0" fontId="49" fillId="0" borderId="0"/>
    <xf numFmtId="0" fontId="44" fillId="0" borderId="0"/>
    <xf numFmtId="0" fontId="49" fillId="0" borderId="0"/>
    <xf numFmtId="0" fontId="44" fillId="0" borderId="0"/>
    <xf numFmtId="0" fontId="49" fillId="0" borderId="0"/>
    <xf numFmtId="0" fontId="44" fillId="0" borderId="0"/>
    <xf numFmtId="0" fontId="57" fillId="0" borderId="0"/>
    <xf numFmtId="0" fontId="58" fillId="0" borderId="0"/>
    <xf numFmtId="0" fontId="57" fillId="0" borderId="0"/>
    <xf numFmtId="0" fontId="58" fillId="0" borderId="0"/>
    <xf numFmtId="0" fontId="49" fillId="0" borderId="0"/>
    <xf numFmtId="0" fontId="44" fillId="0" borderId="0"/>
    <xf numFmtId="0" fontId="57" fillId="0" borderId="0"/>
    <xf numFmtId="0" fontId="58" fillId="0" borderId="0"/>
    <xf numFmtId="0" fontId="49" fillId="0" borderId="0"/>
    <xf numFmtId="0" fontId="44" fillId="0" borderId="0"/>
    <xf numFmtId="0" fontId="49" fillId="0" borderId="0"/>
    <xf numFmtId="0" fontId="44" fillId="0" borderId="0"/>
    <xf numFmtId="0" fontId="57" fillId="0" borderId="0"/>
    <xf numFmtId="0" fontId="58" fillId="0" borderId="0"/>
    <xf numFmtId="0" fontId="49" fillId="0" borderId="0"/>
    <xf numFmtId="0" fontId="44" fillId="0" borderId="0"/>
    <xf numFmtId="0" fontId="57" fillId="0" borderId="0"/>
    <xf numFmtId="0" fontId="58" fillId="0" borderId="0"/>
    <xf numFmtId="0" fontId="49" fillId="0" borderId="0"/>
    <xf numFmtId="0" fontId="44" fillId="0" borderId="0"/>
    <xf numFmtId="0" fontId="49" fillId="0" borderId="0"/>
    <xf numFmtId="0" fontId="44" fillId="0" borderId="0"/>
    <xf numFmtId="0" fontId="49" fillId="0" borderId="0"/>
    <xf numFmtId="0" fontId="44" fillId="0" borderId="0"/>
    <xf numFmtId="0" fontId="57" fillId="0" borderId="0"/>
    <xf numFmtId="0" fontId="58" fillId="0" borderId="0"/>
    <xf numFmtId="0" fontId="49" fillId="0" borderId="0"/>
    <xf numFmtId="0" fontId="44" fillId="0" borderId="0"/>
    <xf numFmtId="0" fontId="57" fillId="0" borderId="0"/>
    <xf numFmtId="0" fontId="58" fillId="0" borderId="0"/>
    <xf numFmtId="0" fontId="49" fillId="0" borderId="0"/>
    <xf numFmtId="0" fontId="44" fillId="0" borderId="0"/>
    <xf numFmtId="0" fontId="49" fillId="0" borderId="0"/>
    <xf numFmtId="0" fontId="44" fillId="0" borderId="0"/>
    <xf numFmtId="0" fontId="49" fillId="0" borderId="0"/>
    <xf numFmtId="0" fontId="44" fillId="0" borderId="0"/>
    <xf numFmtId="0" fontId="57" fillId="0" borderId="0"/>
    <xf numFmtId="0" fontId="58" fillId="0" borderId="0"/>
    <xf numFmtId="0" fontId="57" fillId="0" borderId="0"/>
    <xf numFmtId="0" fontId="58" fillId="0" borderId="0"/>
    <xf numFmtId="0" fontId="49" fillId="0" borderId="0"/>
    <xf numFmtId="0" fontId="44" fillId="0" borderId="0"/>
    <xf numFmtId="0" fontId="57" fillId="0" borderId="0"/>
    <xf numFmtId="0" fontId="58" fillId="0" borderId="0"/>
    <xf numFmtId="0" fontId="49" fillId="0" borderId="0"/>
    <xf numFmtId="0" fontId="44" fillId="0" borderId="0"/>
    <xf numFmtId="0" fontId="49" fillId="0" borderId="0"/>
    <xf numFmtId="0" fontId="44" fillId="0" borderId="0"/>
    <xf numFmtId="0" fontId="57" fillId="0" borderId="0"/>
    <xf numFmtId="0" fontId="58" fillId="0" borderId="0"/>
    <xf numFmtId="0" fontId="49" fillId="0" borderId="0"/>
    <xf numFmtId="0" fontId="44" fillId="0" borderId="0"/>
    <xf numFmtId="0" fontId="57" fillId="0" borderId="0"/>
    <xf numFmtId="0" fontId="58" fillId="0" borderId="0"/>
    <xf numFmtId="0" fontId="49" fillId="0" borderId="0"/>
    <xf numFmtId="0" fontId="44" fillId="0" borderId="0"/>
    <xf numFmtId="0" fontId="49" fillId="0" borderId="0"/>
    <xf numFmtId="0" fontId="44" fillId="0" borderId="0"/>
    <xf numFmtId="0" fontId="49" fillId="0" borderId="0"/>
    <xf numFmtId="0" fontId="44" fillId="0" borderId="0"/>
    <xf numFmtId="0" fontId="57" fillId="0" borderId="0"/>
    <xf numFmtId="0" fontId="58" fillId="0" borderId="0"/>
    <xf numFmtId="0" fontId="49" fillId="0" borderId="0"/>
    <xf numFmtId="0" fontId="44" fillId="0" borderId="0"/>
    <xf numFmtId="0" fontId="57" fillId="0" borderId="0"/>
    <xf numFmtId="0" fontId="58" fillId="0" borderId="0"/>
    <xf numFmtId="0" fontId="49" fillId="0" borderId="0"/>
    <xf numFmtId="0" fontId="44" fillId="0" borderId="0"/>
    <xf numFmtId="0" fontId="49" fillId="0" borderId="0"/>
    <xf numFmtId="0" fontId="44" fillId="0" borderId="0"/>
    <xf numFmtId="0" fontId="49" fillId="0" borderId="0"/>
    <xf numFmtId="0" fontId="44" fillId="0" borderId="0"/>
    <xf numFmtId="0" fontId="57" fillId="0" borderId="0"/>
    <xf numFmtId="0" fontId="58" fillId="0" borderId="0"/>
    <xf numFmtId="0" fontId="57" fillId="0" borderId="0"/>
    <xf numFmtId="0" fontId="58" fillId="0" borderId="0"/>
    <xf numFmtId="0" fontId="49" fillId="0" borderId="0"/>
    <xf numFmtId="0" fontId="44" fillId="0" borderId="0"/>
    <xf numFmtId="0" fontId="59" fillId="0" borderId="0"/>
    <xf numFmtId="0" fontId="60" fillId="0" borderId="0"/>
    <xf numFmtId="0" fontId="61" fillId="0" borderId="0"/>
    <xf numFmtId="0" fontId="44" fillId="0" borderId="0"/>
    <xf numFmtId="0" fontId="49" fillId="0" borderId="0"/>
    <xf numFmtId="0" fontId="5" fillId="0" borderId="0" applyFill="0" applyBorder="0" applyAlignment="0"/>
    <xf numFmtId="0" fontId="62" fillId="32" borderId="132" applyNumberFormat="0" applyAlignment="0" applyProtection="0">
      <alignment vertical="center"/>
    </xf>
    <xf numFmtId="0" fontId="63" fillId="33" borderId="133" applyNumberFormat="0" applyAlignment="0" applyProtection="0">
      <alignment vertical="center"/>
    </xf>
    <xf numFmtId="188" fontId="5" fillId="0" borderId="0">
      <protection locked="0"/>
    </xf>
    <xf numFmtId="0" fontId="64" fillId="0" borderId="0" applyNumberFormat="0" applyFill="0" applyBorder="0" applyAlignment="0" applyProtection="0">
      <alignment vertical="center"/>
    </xf>
    <xf numFmtId="189" fontId="5" fillId="0" borderId="0">
      <protection locked="0"/>
    </xf>
    <xf numFmtId="0" fontId="65" fillId="0" borderId="0" applyNumberFormat="0" applyFill="0" applyBorder="0" applyAlignment="0" applyProtection="0">
      <alignment vertical="top"/>
      <protection locked="0"/>
    </xf>
    <xf numFmtId="0" fontId="66" fillId="16" borderId="0" applyNumberFormat="0" applyBorder="0" applyAlignment="0" applyProtection="0">
      <alignment vertical="center"/>
    </xf>
    <xf numFmtId="38" fontId="13" fillId="6" borderId="0" applyNumberFormat="0" applyBorder="0" applyAlignment="0" applyProtection="0"/>
    <xf numFmtId="0" fontId="67" fillId="0" borderId="43" applyNumberFormat="0" applyAlignment="0" applyProtection="0">
      <alignment horizontal="left" vertical="center"/>
    </xf>
    <xf numFmtId="0" fontId="67" fillId="0" borderId="35">
      <alignment horizontal="left" vertical="center"/>
    </xf>
    <xf numFmtId="0" fontId="68" fillId="0" borderId="134" applyNumberFormat="0" applyFill="0" applyAlignment="0" applyProtection="0">
      <alignment vertical="center"/>
    </xf>
    <xf numFmtId="0" fontId="69" fillId="0" borderId="135" applyNumberFormat="0" applyFill="0" applyAlignment="0" applyProtection="0">
      <alignment vertical="center"/>
    </xf>
    <xf numFmtId="0" fontId="70" fillId="0" borderId="136" applyNumberFormat="0" applyFill="0" applyAlignment="0" applyProtection="0">
      <alignment vertical="center"/>
    </xf>
    <xf numFmtId="0" fontId="70" fillId="0" borderId="0" applyNumberFormat="0" applyFill="0" applyBorder="0" applyAlignment="0" applyProtection="0">
      <alignment vertical="center"/>
    </xf>
    <xf numFmtId="190" fontId="7" fillId="0" borderId="0">
      <protection locked="0"/>
    </xf>
    <xf numFmtId="190" fontId="7" fillId="0" borderId="0">
      <protection locked="0"/>
    </xf>
    <xf numFmtId="0" fontId="71" fillId="0" borderId="0" applyNumberFormat="0" applyFill="0" applyBorder="0" applyAlignment="0" applyProtection="0">
      <alignment vertical="top"/>
      <protection locked="0"/>
    </xf>
    <xf numFmtId="0" fontId="65" fillId="0" borderId="0" applyNumberFormat="0" applyFill="0" applyBorder="0" applyAlignment="0" applyProtection="0">
      <alignment vertical="top"/>
      <protection locked="0"/>
    </xf>
    <xf numFmtId="0" fontId="72" fillId="19" borderId="132" applyNumberFormat="0" applyAlignment="0" applyProtection="0">
      <alignment vertical="center"/>
    </xf>
    <xf numFmtId="10" fontId="13" fillId="34" borderId="5" applyNumberFormat="0" applyBorder="0" applyAlignment="0" applyProtection="0"/>
    <xf numFmtId="0" fontId="73" fillId="0" borderId="137" applyNumberFormat="0" applyFill="0" applyAlignment="0" applyProtection="0">
      <alignment vertical="center"/>
    </xf>
    <xf numFmtId="191" fontId="5" fillId="0" borderId="0" applyFont="0" applyFill="0" applyBorder="0" applyAlignment="0" applyProtection="0"/>
    <xf numFmtId="192" fontId="5" fillId="0" borderId="0" applyFont="0" applyFill="0" applyBorder="0" applyAlignment="0" applyProtection="0"/>
    <xf numFmtId="0" fontId="74" fillId="35" borderId="0" applyNumberFormat="0" applyBorder="0" applyAlignment="0" applyProtection="0">
      <alignment vertical="center"/>
    </xf>
    <xf numFmtId="0" fontId="7" fillId="0" borderId="0"/>
    <xf numFmtId="178" fontId="5" fillId="0" borderId="0"/>
    <xf numFmtId="0" fontId="5" fillId="36" borderId="138" applyNumberFormat="0" applyFont="0" applyAlignment="0" applyProtection="0">
      <alignment vertical="center"/>
    </xf>
    <xf numFmtId="0" fontId="75" fillId="32" borderId="139" applyNumberFormat="0" applyAlignment="0" applyProtection="0">
      <alignment vertical="center"/>
    </xf>
    <xf numFmtId="10" fontId="7" fillId="0" borderId="0" applyFont="0" applyFill="0" applyBorder="0" applyAlignment="0" applyProtection="0"/>
    <xf numFmtId="0" fontId="50" fillId="0" borderId="0" applyNumberFormat="0" applyFont="0" applyFill="0" applyBorder="0" applyAlignment="0" applyProtection="0">
      <alignment horizontal="left"/>
    </xf>
    <xf numFmtId="15" fontId="50" fillId="0" borderId="0" applyFont="0" applyFill="0" applyBorder="0" applyAlignment="0" applyProtection="0"/>
    <xf numFmtId="4" fontId="50" fillId="0" borderId="0" applyFont="0" applyFill="0" applyBorder="0" applyAlignment="0" applyProtection="0"/>
    <xf numFmtId="0" fontId="76" fillId="0" borderId="46">
      <alignment horizontal="center"/>
    </xf>
    <xf numFmtId="3" fontId="50" fillId="0" borderId="0" applyFont="0" applyFill="0" applyBorder="0" applyAlignment="0" applyProtection="0"/>
    <xf numFmtId="0" fontId="50" fillId="37" borderId="0" applyNumberFormat="0" applyFont="0" applyBorder="0" applyAlignment="0" applyProtection="0"/>
    <xf numFmtId="193" fontId="5" fillId="0" borderId="0" applyFont="0" applyFill="0" applyBorder="0" applyAlignment="0" applyProtection="0"/>
    <xf numFmtId="194" fontId="5" fillId="0" borderId="0" applyFont="0" applyFill="0" applyBorder="0" applyAlignment="0" applyProtection="0"/>
    <xf numFmtId="0" fontId="77" fillId="0" borderId="0" applyNumberFormat="0" applyFill="0" applyBorder="0" applyAlignment="0" applyProtection="0">
      <alignment vertical="center"/>
    </xf>
    <xf numFmtId="0" fontId="78" fillId="0" borderId="140" applyNumberFormat="0" applyFill="0" applyAlignment="0" applyProtection="0">
      <alignment vertical="center"/>
    </xf>
    <xf numFmtId="0" fontId="79" fillId="0" borderId="0" applyNumberFormat="0" applyFill="0" applyBorder="0" applyAlignment="0" applyProtection="0">
      <alignment vertical="center"/>
    </xf>
    <xf numFmtId="0" fontId="80" fillId="0" borderId="0" applyNumberFormat="0" applyFill="0" applyBorder="0" applyAlignment="0" applyProtection="0">
      <alignment vertical="top"/>
      <protection locked="0"/>
    </xf>
    <xf numFmtId="40" fontId="81" fillId="0" borderId="0" applyFont="0" applyFill="0" applyBorder="0" applyAlignment="0" applyProtection="0"/>
    <xf numFmtId="0" fontId="7" fillId="0" borderId="0" applyFont="0" applyFill="0" applyBorder="0" applyAlignment="0" applyProtection="0"/>
    <xf numFmtId="0" fontId="42" fillId="0" borderId="0" applyFont="0" applyFill="0" applyBorder="0" applyAlignment="0" applyProtection="0"/>
    <xf numFmtId="0" fontId="42" fillId="0" borderId="0" applyFont="0" applyFill="0" applyBorder="0" applyAlignment="0" applyProtection="0"/>
    <xf numFmtId="9" fontId="5" fillId="0" borderId="0" applyFont="0" applyFill="0" applyBorder="0" applyAlignment="0" applyProtection="0"/>
    <xf numFmtId="9" fontId="27" fillId="0" borderId="0" applyFont="0" applyFill="0" applyBorder="0" applyAlignment="0" applyProtection="0">
      <alignment vertical="center"/>
    </xf>
    <xf numFmtId="0" fontId="82" fillId="0" borderId="0"/>
    <xf numFmtId="0" fontId="81" fillId="0" borderId="0"/>
    <xf numFmtId="177" fontId="2" fillId="0" borderId="0" applyFont="0" applyFill="0" applyBorder="0" applyAlignment="0" applyProtection="0">
      <alignment vertical="center"/>
    </xf>
    <xf numFmtId="177" fontId="2" fillId="0" borderId="0" applyFont="0" applyFill="0" applyBorder="0" applyAlignment="0" applyProtection="0">
      <alignment vertical="center"/>
    </xf>
    <xf numFmtId="177" fontId="27" fillId="0" borderId="0" applyFont="0" applyFill="0" applyBorder="0" applyAlignment="0" applyProtection="0">
      <alignment vertical="center"/>
    </xf>
    <xf numFmtId="0" fontId="7" fillId="0" borderId="0"/>
    <xf numFmtId="195" fontId="5" fillId="0" borderId="0" applyFont="0" applyFill="0" applyBorder="0" applyAlignment="0" applyProtection="0"/>
    <xf numFmtId="196" fontId="5" fillId="0" borderId="0" applyFont="0" applyFill="0" applyBorder="0" applyAlignment="0" applyProtection="0"/>
    <xf numFmtId="176" fontId="5" fillId="0" borderId="0" applyFont="0" applyFill="0" applyBorder="0" applyAlignment="0" applyProtection="0"/>
    <xf numFmtId="0" fontId="5" fillId="0" borderId="0"/>
    <xf numFmtId="0" fontId="24" fillId="0" borderId="0">
      <alignment vertical="center"/>
    </xf>
    <xf numFmtId="0" fontId="83" fillId="0" borderId="0">
      <alignment vertical="center"/>
    </xf>
    <xf numFmtId="0" fontId="83" fillId="0" borderId="0">
      <alignment vertical="center"/>
    </xf>
    <xf numFmtId="0" fontId="7" fillId="0" borderId="0"/>
    <xf numFmtId="0" fontId="5" fillId="0" borderId="0">
      <alignment vertical="center"/>
    </xf>
    <xf numFmtId="0" fontId="2" fillId="0" borderId="0">
      <alignment vertical="center"/>
    </xf>
    <xf numFmtId="0" fontId="27" fillId="0" borderId="0">
      <alignment vertical="center"/>
    </xf>
    <xf numFmtId="0" fontId="1" fillId="0" borderId="0"/>
    <xf numFmtId="0" fontId="96" fillId="0" borderId="0" applyNumberFormat="0" applyFill="0" applyBorder="0" applyAlignment="0" applyProtection="0"/>
    <xf numFmtId="0" fontId="98" fillId="0" borderId="0"/>
  </cellStyleXfs>
  <cellXfs count="515">
    <xf numFmtId="0" fontId="0" fillId="0" borderId="0" xfId="0">
      <alignment vertical="center"/>
    </xf>
    <xf numFmtId="0" fontId="36" fillId="0" borderId="0" xfId="0" applyFont="1">
      <alignment vertical="center"/>
    </xf>
    <xf numFmtId="0" fontId="9" fillId="0" borderId="0" xfId="0" applyFont="1" applyAlignment="1">
      <alignment vertical="center" wrapText="1"/>
    </xf>
    <xf numFmtId="0" fontId="9" fillId="2" borderId="0" xfId="0" applyFont="1" applyFill="1" applyAlignment="1">
      <alignment vertical="center" wrapText="1"/>
    </xf>
    <xf numFmtId="0" fontId="9" fillId="2" borderId="0" xfId="0" applyFont="1" applyFill="1" applyAlignment="1" applyProtection="1">
      <alignment vertical="center" wrapText="1"/>
      <protection hidden="1"/>
    </xf>
    <xf numFmtId="0" fontId="8" fillId="2" borderId="0" xfId="0" applyFont="1" applyFill="1">
      <alignment vertical="center"/>
    </xf>
    <xf numFmtId="0" fontId="8" fillId="0" borderId="5" xfId="0" applyFont="1" applyBorder="1" applyAlignment="1">
      <alignment vertical="center" wrapText="1"/>
    </xf>
    <xf numFmtId="0" fontId="8" fillId="0" borderId="7" xfId="0" applyFont="1" applyBorder="1" applyAlignment="1">
      <alignment vertical="center" wrapText="1"/>
    </xf>
    <xf numFmtId="0" fontId="9" fillId="0" borderId="0" xfId="0" applyFont="1">
      <alignment vertical="center"/>
    </xf>
    <xf numFmtId="9" fontId="9" fillId="2" borderId="0" xfId="0" applyNumberFormat="1" applyFont="1" applyFill="1" applyAlignment="1">
      <alignment vertical="center" wrapText="1"/>
    </xf>
    <xf numFmtId="0" fontId="9" fillId="2" borderId="0" xfId="0" applyFont="1" applyFill="1">
      <alignment vertical="center"/>
    </xf>
    <xf numFmtId="0" fontId="9" fillId="0" borderId="0" xfId="0" applyFont="1" applyProtection="1">
      <alignment vertical="center"/>
      <protection hidden="1"/>
    </xf>
    <xf numFmtId="9" fontId="9" fillId="2" borderId="0" xfId="0" applyNumberFormat="1" applyFont="1" applyFill="1" applyAlignment="1" applyProtection="1">
      <alignment vertical="center" wrapText="1"/>
      <protection hidden="1"/>
    </xf>
    <xf numFmtId="0" fontId="9" fillId="2" borderId="0" xfId="0" applyFont="1" applyFill="1" applyProtection="1">
      <alignment vertical="center"/>
      <protection hidden="1"/>
    </xf>
    <xf numFmtId="0" fontId="8" fillId="0" borderId="19" xfId="0" applyFont="1" applyBorder="1">
      <alignment vertical="center"/>
    </xf>
    <xf numFmtId="0" fontId="8" fillId="0" borderId="20" xfId="0" applyFont="1" applyBorder="1">
      <alignment vertical="center"/>
    </xf>
    <xf numFmtId="0" fontId="12" fillId="0" borderId="0" xfId="0" applyFont="1">
      <alignment vertical="center"/>
    </xf>
    <xf numFmtId="0" fontId="8" fillId="0" borderId="0" xfId="0" applyFont="1">
      <alignment vertical="center"/>
    </xf>
    <xf numFmtId="0" fontId="8" fillId="0" borderId="30" xfId="0" applyFont="1" applyBorder="1" applyAlignment="1">
      <alignment vertical="center" wrapText="1"/>
    </xf>
    <xf numFmtId="0" fontId="11" fillId="0" borderId="31" xfId="0" applyFont="1" applyBorder="1" applyAlignment="1">
      <alignment vertical="center" wrapText="1"/>
    </xf>
    <xf numFmtId="0" fontId="9" fillId="0" borderId="12" xfId="0" applyFont="1" applyBorder="1" applyAlignment="1">
      <alignment horizontal="center" vertical="center"/>
    </xf>
    <xf numFmtId="0" fontId="9" fillId="0" borderId="32" xfId="0" applyFont="1" applyBorder="1" applyAlignment="1">
      <alignment vertical="center" wrapText="1"/>
    </xf>
    <xf numFmtId="0" fontId="9" fillId="0" borderId="32" xfId="0" applyFont="1" applyBorder="1">
      <alignment vertical="center"/>
    </xf>
    <xf numFmtId="0" fontId="18" fillId="0" borderId="0" xfId="0" applyFont="1">
      <alignment vertical="center"/>
    </xf>
    <xf numFmtId="0" fontId="23" fillId="0" borderId="0" xfId="0" applyFont="1">
      <alignment vertical="center"/>
    </xf>
    <xf numFmtId="0" fontId="4" fillId="0" borderId="0" xfId="0" applyFont="1">
      <alignment vertical="center"/>
    </xf>
    <xf numFmtId="0" fontId="4" fillId="0" borderId="0" xfId="0" applyFont="1" applyAlignment="1">
      <alignment horizontal="center" vertical="center"/>
    </xf>
    <xf numFmtId="0" fontId="11" fillId="0" borderId="62" xfId="0" applyFont="1" applyBorder="1" applyAlignment="1">
      <alignment vertical="center" wrapText="1"/>
    </xf>
    <xf numFmtId="0" fontId="9" fillId="0" borderId="48" xfId="0" applyFont="1" applyBorder="1" applyAlignment="1">
      <alignment horizontal="center" vertical="center"/>
    </xf>
    <xf numFmtId="0" fontId="9" fillId="0" borderId="67" xfId="0" applyFont="1" applyBorder="1">
      <alignment vertical="center"/>
    </xf>
    <xf numFmtId="0" fontId="15" fillId="0" borderId="62" xfId="0" applyFont="1" applyBorder="1" applyAlignment="1">
      <alignment vertical="center" wrapText="1"/>
    </xf>
    <xf numFmtId="0" fontId="17" fillId="0" borderId="67" xfId="0" applyFont="1" applyBorder="1" applyAlignment="1">
      <alignment vertical="center" wrapText="1"/>
    </xf>
    <xf numFmtId="0" fontId="9" fillId="0" borderId="13" xfId="0" applyFont="1" applyBorder="1" applyAlignment="1">
      <alignment horizontal="center" vertical="center"/>
    </xf>
    <xf numFmtId="0" fontId="9" fillId="0" borderId="42" xfId="0" applyFont="1" applyBorder="1">
      <alignment vertical="center"/>
    </xf>
    <xf numFmtId="0" fontId="16" fillId="0" borderId="71" xfId="0" applyFont="1" applyBorder="1" applyAlignment="1">
      <alignment vertical="center" wrapText="1"/>
    </xf>
    <xf numFmtId="0" fontId="9" fillId="0" borderId="56" xfId="0" applyFont="1" applyBorder="1" applyAlignment="1">
      <alignment vertical="center" wrapText="1"/>
    </xf>
    <xf numFmtId="0" fontId="9" fillId="0" borderId="57" xfId="0" applyFont="1" applyBorder="1" applyAlignment="1">
      <alignment vertical="center" wrapText="1"/>
    </xf>
    <xf numFmtId="0" fontId="9" fillId="0" borderId="65" xfId="0" applyFont="1" applyBorder="1" applyAlignment="1">
      <alignment vertical="center" wrapText="1"/>
    </xf>
    <xf numFmtId="0" fontId="9" fillId="0" borderId="11" xfId="0" applyFont="1" applyBorder="1" applyAlignment="1">
      <alignment horizontal="center" vertical="center" wrapText="1"/>
    </xf>
    <xf numFmtId="0" fontId="9" fillId="0" borderId="12" xfId="0" applyFont="1" applyBorder="1" applyAlignment="1">
      <alignment horizontal="center" vertical="center" wrapText="1"/>
    </xf>
    <xf numFmtId="0" fontId="9" fillId="0" borderId="13" xfId="0" applyFont="1" applyBorder="1" applyAlignment="1">
      <alignment horizontal="center" vertical="center" wrapText="1"/>
    </xf>
    <xf numFmtId="0" fontId="9" fillId="0" borderId="14" xfId="0" applyFont="1" applyBorder="1" applyAlignment="1">
      <alignment horizontal="center" vertical="center" wrapText="1"/>
    </xf>
    <xf numFmtId="0" fontId="9" fillId="0" borderId="15" xfId="0" applyFont="1" applyBorder="1" applyAlignment="1">
      <alignment horizontal="center" vertical="center" wrapText="1"/>
    </xf>
    <xf numFmtId="0" fontId="9" fillId="0" borderId="13" xfId="0" quotePrefix="1" applyFont="1" applyBorder="1" applyAlignment="1">
      <alignment horizontal="center" vertical="center" wrapText="1"/>
    </xf>
    <xf numFmtId="0" fontId="30" fillId="8" borderId="11" xfId="0" applyFont="1" applyFill="1" applyBorder="1" applyAlignment="1">
      <alignment vertical="center" wrapText="1"/>
    </xf>
    <xf numFmtId="0" fontId="30" fillId="8" borderId="12" xfId="0" applyFont="1" applyFill="1" applyBorder="1" applyAlignment="1">
      <alignment vertical="center" wrapText="1"/>
    </xf>
    <xf numFmtId="0" fontId="30" fillId="8" borderId="13" xfId="0" applyFont="1" applyFill="1" applyBorder="1" applyAlignment="1">
      <alignment vertical="center" wrapText="1"/>
    </xf>
    <xf numFmtId="0" fontId="30" fillId="8" borderId="14" xfId="0" applyFont="1" applyFill="1" applyBorder="1" applyAlignment="1">
      <alignment vertical="center" wrapText="1"/>
    </xf>
    <xf numFmtId="0" fontId="30" fillId="8" borderId="15" xfId="0" applyFont="1" applyFill="1" applyBorder="1" applyAlignment="1">
      <alignment vertical="center" wrapText="1"/>
    </xf>
    <xf numFmtId="0" fontId="26" fillId="8" borderId="14" xfId="0" applyFont="1" applyFill="1" applyBorder="1" applyAlignment="1">
      <alignment vertical="center" wrapText="1"/>
    </xf>
    <xf numFmtId="0" fontId="26" fillId="8" borderId="12" xfId="0" applyFont="1" applyFill="1" applyBorder="1" applyAlignment="1">
      <alignment vertical="center" wrapText="1"/>
    </xf>
    <xf numFmtId="0" fontId="26" fillId="8" borderId="13" xfId="0" applyFont="1" applyFill="1" applyBorder="1" applyAlignment="1">
      <alignment vertical="center" wrapText="1"/>
    </xf>
    <xf numFmtId="0" fontId="30" fillId="8" borderId="48" xfId="0" applyFont="1" applyFill="1" applyBorder="1" applyAlignment="1">
      <alignment vertical="center" wrapText="1"/>
    </xf>
    <xf numFmtId="0" fontId="9" fillId="0" borderId="48" xfId="0" applyFont="1" applyBorder="1" applyAlignment="1">
      <alignment horizontal="center" vertical="center" wrapText="1"/>
    </xf>
    <xf numFmtId="0" fontId="8" fillId="9" borderId="26" xfId="0" applyFont="1" applyFill="1" applyBorder="1" applyAlignment="1">
      <alignment horizontal="center" vertical="center" wrapText="1"/>
    </xf>
    <xf numFmtId="0" fontId="8" fillId="9" borderId="27" xfId="0" applyFont="1" applyFill="1" applyBorder="1" applyAlignment="1">
      <alignment horizontal="center" vertical="center" wrapText="1"/>
    </xf>
    <xf numFmtId="0" fontId="8" fillId="0" borderId="73" xfId="0" applyFont="1" applyBorder="1" applyAlignment="1">
      <alignment vertical="center" wrapText="1"/>
    </xf>
    <xf numFmtId="0" fontId="30" fillId="8" borderId="0" xfId="0" applyFont="1" applyFill="1" applyAlignment="1">
      <alignment vertical="center" wrapText="1"/>
    </xf>
    <xf numFmtId="9" fontId="9" fillId="8" borderId="0" xfId="0" applyNumberFormat="1" applyFont="1" applyFill="1" applyAlignment="1">
      <alignment horizontal="center" vertical="center" wrapText="1"/>
    </xf>
    <xf numFmtId="0" fontId="9" fillId="8" borderId="0" xfId="0" applyFont="1" applyFill="1" applyAlignment="1">
      <alignment horizontal="center" vertical="center" wrapText="1"/>
    </xf>
    <xf numFmtId="0" fontId="9" fillId="8" borderId="0" xfId="0" applyFont="1" applyFill="1">
      <alignment vertical="center"/>
    </xf>
    <xf numFmtId="0" fontId="8" fillId="8" borderId="0" xfId="0" applyFont="1" applyFill="1" applyAlignment="1">
      <alignment horizontal="center" vertical="center" wrapText="1"/>
    </xf>
    <xf numFmtId="0" fontId="9" fillId="8" borderId="0" xfId="0" applyFont="1" applyFill="1" applyAlignment="1">
      <alignment vertical="center" wrapText="1"/>
    </xf>
    <xf numFmtId="0" fontId="32" fillId="12" borderId="16" xfId="0" applyFont="1" applyFill="1" applyBorder="1">
      <alignment vertical="center"/>
    </xf>
    <xf numFmtId="0" fontId="32" fillId="12" borderId="17" xfId="0" applyFont="1" applyFill="1" applyBorder="1">
      <alignment vertical="center"/>
    </xf>
    <xf numFmtId="0" fontId="32" fillId="12" borderId="22" xfId="0" applyFont="1" applyFill="1" applyBorder="1">
      <alignment vertical="center"/>
    </xf>
    <xf numFmtId="0" fontId="8" fillId="9" borderId="18" xfId="0" applyFont="1" applyFill="1" applyBorder="1" applyAlignment="1">
      <alignment horizontal="center" vertical="center"/>
    </xf>
    <xf numFmtId="0" fontId="8" fillId="9" borderId="6" xfId="0" applyFont="1" applyFill="1" applyBorder="1" applyAlignment="1">
      <alignment horizontal="center" vertical="center"/>
    </xf>
    <xf numFmtId="9" fontId="30" fillId="8" borderId="14" xfId="0" applyNumberFormat="1" applyFont="1" applyFill="1" applyBorder="1" applyAlignment="1">
      <alignment vertical="center" wrapText="1"/>
    </xf>
    <xf numFmtId="0" fontId="30" fillId="8" borderId="14" xfId="0" applyFont="1" applyFill="1" applyBorder="1" applyAlignment="1">
      <alignment horizontal="left" vertical="center" wrapText="1"/>
    </xf>
    <xf numFmtId="49" fontId="30" fillId="8" borderId="12" xfId="0" applyNumberFormat="1" applyFont="1" applyFill="1" applyBorder="1" applyAlignment="1">
      <alignment horizontal="left" vertical="center" wrapText="1"/>
    </xf>
    <xf numFmtId="49" fontId="30" fillId="8" borderId="13" xfId="0" applyNumberFormat="1" applyFont="1" applyFill="1" applyBorder="1" applyAlignment="1">
      <alignment horizontal="left" vertical="center" wrapText="1"/>
    </xf>
    <xf numFmtId="0" fontId="8" fillId="9" borderId="8" xfId="0" applyFont="1" applyFill="1" applyBorder="1" applyAlignment="1">
      <alignment horizontal="center" vertical="center" wrapText="1"/>
    </xf>
    <xf numFmtId="0" fontId="8" fillId="9" borderId="9" xfId="0" applyFont="1" applyFill="1" applyBorder="1" applyAlignment="1">
      <alignment horizontal="center" vertical="center" wrapText="1"/>
    </xf>
    <xf numFmtId="0" fontId="8" fillId="9" borderId="10" xfId="0" applyFont="1" applyFill="1" applyBorder="1" applyAlignment="1">
      <alignment horizontal="center" vertical="center" wrapText="1"/>
    </xf>
    <xf numFmtId="0" fontId="8" fillId="9" borderId="1" xfId="0" applyFont="1" applyFill="1" applyBorder="1" applyAlignment="1">
      <alignment horizontal="center" vertical="center" wrapText="1"/>
    </xf>
    <xf numFmtId="0" fontId="8" fillId="9" borderId="2" xfId="0" applyFont="1" applyFill="1" applyBorder="1" applyAlignment="1">
      <alignment horizontal="center" vertical="center" wrapText="1"/>
    </xf>
    <xf numFmtId="0" fontId="8" fillId="9" borderId="3" xfId="0" applyFont="1" applyFill="1" applyBorder="1" applyAlignment="1">
      <alignment horizontal="center" vertical="center" wrapText="1"/>
    </xf>
    <xf numFmtId="0" fontId="15" fillId="0" borderId="31" xfId="0" applyFont="1" applyBorder="1" applyAlignment="1">
      <alignment vertical="center" wrapText="1"/>
    </xf>
    <xf numFmtId="0" fontId="9" fillId="0" borderId="78" xfId="0" applyFont="1" applyBorder="1" applyAlignment="1">
      <alignment vertical="center" wrapText="1"/>
    </xf>
    <xf numFmtId="0" fontId="11" fillId="0" borderId="77" xfId="0" applyFont="1" applyBorder="1" applyAlignment="1">
      <alignment vertical="center" wrapText="1"/>
    </xf>
    <xf numFmtId="0" fontId="11" fillId="0" borderId="79" xfId="0" applyFont="1" applyBorder="1" applyAlignment="1">
      <alignment vertical="center" wrapText="1"/>
    </xf>
    <xf numFmtId="0" fontId="10" fillId="4" borderId="26" xfId="0" applyFont="1" applyFill="1" applyBorder="1" applyAlignment="1">
      <alignment horizontal="center" vertical="center" wrapText="1"/>
    </xf>
    <xf numFmtId="0" fontId="10" fillId="4" borderId="75" xfId="0" applyFont="1" applyFill="1" applyBorder="1" applyAlignment="1">
      <alignment horizontal="center" vertical="center" wrapText="1"/>
    </xf>
    <xf numFmtId="0" fontId="29" fillId="0" borderId="68" xfId="0" applyFont="1" applyBorder="1" applyAlignment="1">
      <alignment vertical="center" wrapText="1"/>
    </xf>
    <xf numFmtId="0" fontId="29" fillId="0" borderId="71" xfId="0" applyFont="1" applyBorder="1" applyAlignment="1">
      <alignment vertical="center" wrapText="1"/>
    </xf>
    <xf numFmtId="0" fontId="15" fillId="0" borderId="71" xfId="0" applyFont="1" applyBorder="1" applyAlignment="1">
      <alignment vertical="center" wrapText="1"/>
    </xf>
    <xf numFmtId="0" fontId="11" fillId="0" borderId="84" xfId="0" applyFont="1" applyBorder="1" applyAlignment="1">
      <alignment vertical="center" wrapText="1"/>
    </xf>
    <xf numFmtId="0" fontId="10" fillId="4" borderId="76" xfId="0" applyFont="1" applyFill="1" applyBorder="1" applyAlignment="1">
      <alignment horizontal="center" vertical="center" wrapText="1"/>
    </xf>
    <xf numFmtId="0" fontId="9" fillId="0" borderId="85" xfId="0" applyFont="1" applyBorder="1">
      <alignment vertical="center"/>
    </xf>
    <xf numFmtId="0" fontId="9" fillId="0" borderId="86" xfId="0" applyFont="1" applyBorder="1">
      <alignment vertical="center"/>
    </xf>
    <xf numFmtId="0" fontId="9" fillId="0" borderId="87" xfId="0" applyFont="1" applyBorder="1">
      <alignment vertical="center"/>
    </xf>
    <xf numFmtId="0" fontId="8" fillId="9" borderId="74" xfId="0" applyFont="1" applyFill="1" applyBorder="1" applyAlignment="1">
      <alignment horizontal="center" vertical="center" wrapText="1"/>
    </xf>
    <xf numFmtId="0" fontId="8" fillId="9" borderId="18" xfId="0" applyFont="1" applyFill="1" applyBorder="1" applyAlignment="1">
      <alignment horizontal="center" vertical="center" wrapText="1"/>
    </xf>
    <xf numFmtId="0" fontId="8" fillId="9" borderId="4" xfId="0" applyFont="1" applyFill="1" applyBorder="1" applyAlignment="1">
      <alignment horizontal="center" vertical="center" wrapText="1"/>
    </xf>
    <xf numFmtId="0" fontId="8" fillId="9" borderId="6" xfId="0" applyFont="1" applyFill="1" applyBorder="1" applyAlignment="1">
      <alignment horizontal="center" vertical="center" wrapText="1"/>
    </xf>
    <xf numFmtId="0" fontId="8" fillId="9" borderId="39" xfId="0" applyFont="1" applyFill="1" applyBorder="1" applyAlignment="1">
      <alignment horizontal="center" vertical="center" wrapText="1"/>
    </xf>
    <xf numFmtId="0" fontId="40" fillId="0" borderId="0" xfId="0" applyFont="1">
      <alignment vertical="center"/>
    </xf>
    <xf numFmtId="0" fontId="8" fillId="2" borderId="0" xfId="6" applyFont="1" applyFill="1" applyAlignment="1">
      <alignment vertical="center"/>
    </xf>
    <xf numFmtId="0" fontId="32" fillId="12" borderId="16" xfId="6" applyFont="1" applyFill="1" applyBorder="1" applyAlignment="1">
      <alignment vertical="center"/>
    </xf>
    <xf numFmtId="0" fontId="32" fillId="12" borderId="17" xfId="6" applyFont="1" applyFill="1" applyBorder="1" applyAlignment="1">
      <alignment vertical="center"/>
    </xf>
    <xf numFmtId="0" fontId="32" fillId="12" borderId="22" xfId="6" applyFont="1" applyFill="1" applyBorder="1" applyAlignment="1">
      <alignment vertical="center"/>
    </xf>
    <xf numFmtId="0" fontId="8" fillId="10" borderId="8" xfId="0" applyFont="1" applyFill="1" applyBorder="1" applyAlignment="1">
      <alignment horizontal="center" vertical="center" wrapText="1"/>
    </xf>
    <xf numFmtId="0" fontId="8" fillId="10" borderId="9" xfId="0" applyFont="1" applyFill="1" applyBorder="1" applyAlignment="1">
      <alignment horizontal="center" vertical="center" wrapText="1"/>
    </xf>
    <xf numFmtId="0" fontId="8" fillId="10" borderId="10" xfId="0" applyFont="1" applyFill="1" applyBorder="1" applyAlignment="1">
      <alignment horizontal="center" vertical="center" wrapText="1"/>
    </xf>
    <xf numFmtId="0" fontId="31" fillId="8" borderId="13" xfId="0" applyFont="1" applyFill="1" applyBorder="1" applyAlignment="1">
      <alignment vertical="center" wrapText="1"/>
    </xf>
    <xf numFmtId="0" fontId="32" fillId="3" borderId="16" xfId="6" applyFont="1" applyFill="1" applyBorder="1" applyAlignment="1">
      <alignment vertical="center"/>
    </xf>
    <xf numFmtId="0" fontId="10" fillId="3" borderId="17" xfId="6" applyFont="1" applyFill="1" applyBorder="1" applyAlignment="1">
      <alignment vertical="center"/>
    </xf>
    <xf numFmtId="0" fontId="10" fillId="3" borderId="22" xfId="6" applyFont="1" applyFill="1" applyBorder="1" applyAlignment="1">
      <alignment vertical="center"/>
    </xf>
    <xf numFmtId="0" fontId="32" fillId="3" borderId="21" xfId="6" applyFont="1" applyFill="1" applyBorder="1" applyAlignment="1">
      <alignment vertical="center"/>
    </xf>
    <xf numFmtId="0" fontId="2" fillId="0" borderId="0" xfId="0" applyFont="1">
      <alignment vertical="center"/>
    </xf>
    <xf numFmtId="0" fontId="2" fillId="0" borderId="0" xfId="0" applyFont="1" applyAlignment="1">
      <alignment vertical="center" wrapText="1"/>
    </xf>
    <xf numFmtId="0" fontId="84" fillId="0" borderId="0" xfId="0" applyFont="1">
      <alignment vertical="center"/>
    </xf>
    <xf numFmtId="197" fontId="84" fillId="0" borderId="0" xfId="0" applyNumberFormat="1" applyFont="1">
      <alignment vertical="center"/>
    </xf>
    <xf numFmtId="0" fontId="85" fillId="0" borderId="0" xfId="0" applyFont="1">
      <alignment vertical="center"/>
    </xf>
    <xf numFmtId="0" fontId="26" fillId="0" borderId="0" xfId="0" applyFont="1" applyAlignment="1">
      <alignment horizontal="left" vertical="center"/>
    </xf>
    <xf numFmtId="0" fontId="26" fillId="0" borderId="0" xfId="0" applyFont="1" applyAlignment="1">
      <alignment horizontal="center" vertical="center"/>
    </xf>
    <xf numFmtId="177" fontId="26" fillId="0" borderId="0" xfId="0" applyNumberFormat="1" applyFont="1">
      <alignment vertical="center"/>
    </xf>
    <xf numFmtId="0" fontId="86" fillId="0" borderId="0" xfId="0" applyFont="1" applyAlignment="1">
      <alignment horizontal="left" vertical="center"/>
    </xf>
    <xf numFmtId="0" fontId="87" fillId="0" borderId="0" xfId="0" applyFont="1" applyAlignment="1">
      <alignment horizontal="center" vertical="center"/>
    </xf>
    <xf numFmtId="14" fontId="26" fillId="0" borderId="0" xfId="0" applyNumberFormat="1" applyFont="1" applyAlignment="1">
      <alignment horizontal="right" vertical="center"/>
    </xf>
    <xf numFmtId="177" fontId="26" fillId="0" borderId="55" xfId="3" applyFont="1" applyBorder="1" applyAlignment="1">
      <alignment horizontal="left" vertical="center"/>
    </xf>
    <xf numFmtId="177" fontId="26" fillId="0" borderId="56" xfId="3" applyFont="1" applyBorder="1" applyAlignment="1">
      <alignment horizontal="left" vertical="center"/>
    </xf>
    <xf numFmtId="0" fontId="26" fillId="0" borderId="14" xfId="2" applyFont="1" applyBorder="1" applyAlignment="1">
      <alignment horizontal="center" vertical="center"/>
    </xf>
    <xf numFmtId="0" fontId="26" fillId="0" borderId="41" xfId="2" applyFont="1" applyBorder="1" applyAlignment="1">
      <alignment horizontal="center" vertical="center"/>
    </xf>
    <xf numFmtId="177" fontId="26" fillId="0" borderId="40" xfId="3" applyFont="1" applyBorder="1" applyAlignment="1">
      <alignment horizontal="left" vertical="center"/>
    </xf>
    <xf numFmtId="177" fontId="26" fillId="0" borderId="57" xfId="3" applyFont="1" applyBorder="1" applyAlignment="1">
      <alignment horizontal="left" vertical="center"/>
    </xf>
    <xf numFmtId="0" fontId="26" fillId="0" borderId="12" xfId="2" applyFont="1" applyBorder="1" applyAlignment="1">
      <alignment horizontal="center" vertical="center"/>
    </xf>
    <xf numFmtId="0" fontId="26" fillId="0" borderId="32" xfId="2" applyFont="1" applyBorder="1" applyAlignment="1">
      <alignment horizontal="center" vertical="center"/>
    </xf>
    <xf numFmtId="177" fontId="26" fillId="0" borderId="30" xfId="3" applyFont="1" applyBorder="1" applyAlignment="1">
      <alignment horizontal="left" vertical="center"/>
    </xf>
    <xf numFmtId="0" fontId="26" fillId="0" borderId="13" xfId="2" applyFont="1" applyBorder="1" applyAlignment="1">
      <alignment horizontal="center" vertical="center"/>
    </xf>
    <xf numFmtId="0" fontId="26" fillId="0" borderId="42" xfId="2" applyFont="1" applyBorder="1" applyAlignment="1">
      <alignment horizontal="center" vertical="center"/>
    </xf>
    <xf numFmtId="177" fontId="26" fillId="0" borderId="100" xfId="3" applyFont="1" applyBorder="1" applyAlignment="1">
      <alignment horizontal="left" vertical="center"/>
    </xf>
    <xf numFmtId="177" fontId="26" fillId="0" borderId="57" xfId="3" applyFont="1" applyFill="1" applyBorder="1" applyAlignment="1">
      <alignment horizontal="left" vertical="center"/>
    </xf>
    <xf numFmtId="0" fontId="26" fillId="0" borderId="7" xfId="2" applyFont="1" applyBorder="1" applyAlignment="1">
      <alignment horizontal="center" vertical="center"/>
    </xf>
    <xf numFmtId="179" fontId="91" fillId="0" borderId="20" xfId="0" applyNumberFormat="1" applyFont="1" applyBorder="1" applyAlignment="1">
      <alignment horizontal="center" vertical="center"/>
    </xf>
    <xf numFmtId="0" fontId="26" fillId="0" borderId="0" xfId="0" applyFont="1">
      <alignment vertical="center"/>
    </xf>
    <xf numFmtId="0" fontId="26" fillId="0" borderId="6" xfId="2" applyFont="1" applyBorder="1" applyAlignment="1">
      <alignment horizontal="center" vertical="center"/>
    </xf>
    <xf numFmtId="179" fontId="91" fillId="0" borderId="123" xfId="0" applyNumberFormat="1" applyFont="1" applyBorder="1" applyAlignment="1">
      <alignment horizontal="center" vertical="center"/>
    </xf>
    <xf numFmtId="0" fontId="92" fillId="0" borderId="0" xfId="1021" applyFont="1" applyAlignment="1">
      <alignment vertical="center"/>
    </xf>
    <xf numFmtId="0" fontId="93" fillId="0" borderId="0" xfId="1021" applyFont="1" applyAlignment="1">
      <alignment vertical="center"/>
    </xf>
    <xf numFmtId="0" fontId="93" fillId="0" borderId="0" xfId="1021" applyFont="1" applyAlignment="1">
      <alignment horizontal="center" vertical="center"/>
    </xf>
    <xf numFmtId="0" fontId="94" fillId="9" borderId="39" xfId="1021" applyFont="1" applyFill="1" applyBorder="1" applyAlignment="1">
      <alignment horizontal="center" vertical="center"/>
    </xf>
    <xf numFmtId="0" fontId="94" fillId="9" borderId="26" xfId="1021" applyFont="1" applyFill="1" applyBorder="1" applyAlignment="1">
      <alignment horizontal="center" vertical="center"/>
    </xf>
    <xf numFmtId="0" fontId="94" fillId="9" borderId="27" xfId="1021" applyFont="1" applyFill="1" applyBorder="1" applyAlignment="1">
      <alignment horizontal="center" vertical="center"/>
    </xf>
    <xf numFmtId="0" fontId="95" fillId="0" borderId="4" xfId="1021" applyFont="1" applyBorder="1" applyAlignment="1">
      <alignment horizontal="center" vertical="center"/>
    </xf>
    <xf numFmtId="0" fontId="95" fillId="0" borderId="5" xfId="1021" applyFont="1" applyBorder="1" applyAlignment="1">
      <alignment horizontal="center" vertical="center"/>
    </xf>
    <xf numFmtId="0" fontId="97" fillId="0" borderId="5" xfId="1021" applyFont="1" applyBorder="1" applyAlignment="1">
      <alignment horizontal="center" vertical="center"/>
    </xf>
    <xf numFmtId="0" fontId="99" fillId="0" borderId="5" xfId="1023" applyFont="1" applyBorder="1" applyAlignment="1">
      <alignment horizontal="center" wrapText="1"/>
    </xf>
    <xf numFmtId="0" fontId="95" fillId="8" borderId="5" xfId="1021" applyFont="1" applyFill="1" applyBorder="1" applyAlignment="1">
      <alignment horizontal="center" vertical="center"/>
    </xf>
    <xf numFmtId="0" fontId="100" fillId="0" borderId="5" xfId="1021" applyFont="1" applyBorder="1" applyAlignment="1">
      <alignment horizontal="center" vertical="center"/>
    </xf>
    <xf numFmtId="0" fontId="95" fillId="0" borderId="6" xfId="1021" applyFont="1" applyBorder="1" applyAlignment="1">
      <alignment horizontal="center" vertical="center"/>
    </xf>
    <xf numFmtId="0" fontId="95" fillId="0" borderId="7" xfId="1021" applyFont="1" applyBorder="1" applyAlignment="1">
      <alignment horizontal="center" vertical="center"/>
    </xf>
    <xf numFmtId="0" fontId="97" fillId="0" borderId="7" xfId="1021" applyFont="1" applyBorder="1" applyAlignment="1">
      <alignment horizontal="center" vertical="center"/>
    </xf>
    <xf numFmtId="0" fontId="95" fillId="0" borderId="5" xfId="1021" applyFont="1" applyBorder="1" applyAlignment="1">
      <alignment vertical="center"/>
    </xf>
    <xf numFmtId="0" fontId="95" fillId="0" borderId="5" xfId="1021" quotePrefix="1" applyFont="1" applyBorder="1" applyAlignment="1">
      <alignment horizontal="center" vertical="center"/>
    </xf>
    <xf numFmtId="198" fontId="95" fillId="0" borderId="5" xfId="1021" applyNumberFormat="1" applyFont="1" applyBorder="1" applyAlignment="1">
      <alignment horizontal="center" vertical="center"/>
    </xf>
    <xf numFmtId="198" fontId="95" fillId="8" borderId="5" xfId="1021" applyNumberFormat="1" applyFont="1" applyFill="1" applyBorder="1" applyAlignment="1">
      <alignment horizontal="center" vertical="center"/>
    </xf>
    <xf numFmtId="0" fontId="95" fillId="0" borderId="7" xfId="1021" applyFont="1" applyBorder="1" applyAlignment="1">
      <alignment vertical="center"/>
    </xf>
    <xf numFmtId="0" fontId="95" fillId="0" borderId="157" xfId="1021" applyFont="1" applyBorder="1" applyAlignment="1">
      <alignment horizontal="center" vertical="center"/>
    </xf>
    <xf numFmtId="0" fontId="95" fillId="0" borderId="20" xfId="1021" applyFont="1" applyBorder="1" applyAlignment="1">
      <alignment horizontal="center" vertical="center"/>
    </xf>
    <xf numFmtId="0" fontId="97" fillId="0" borderId="0" xfId="0" applyFont="1">
      <alignment vertical="center"/>
    </xf>
    <xf numFmtId="0" fontId="97" fillId="8" borderId="0" xfId="0" applyFont="1" applyFill="1">
      <alignment vertical="center"/>
    </xf>
    <xf numFmtId="0" fontId="105" fillId="0" borderId="0" xfId="0" applyFont="1">
      <alignment vertical="center"/>
    </xf>
    <xf numFmtId="0" fontId="106" fillId="8" borderId="0" xfId="0" applyFont="1" applyFill="1">
      <alignment vertical="center"/>
    </xf>
    <xf numFmtId="0" fontId="97" fillId="0" borderId="17" xfId="0" applyFont="1" applyBorder="1">
      <alignment vertical="center"/>
    </xf>
    <xf numFmtId="0" fontId="97" fillId="0" borderId="156" xfId="0" applyFont="1" applyBorder="1">
      <alignment vertical="center"/>
    </xf>
    <xf numFmtId="0" fontId="108" fillId="8" borderId="0" xfId="0" applyFont="1" applyFill="1">
      <alignment vertical="center"/>
    </xf>
    <xf numFmtId="0" fontId="108" fillId="0" borderId="0" xfId="0" applyFont="1">
      <alignment vertical="center"/>
    </xf>
    <xf numFmtId="180" fontId="97" fillId="0" borderId="142" xfId="0" applyNumberFormat="1" applyFont="1" applyBorder="1" applyAlignment="1">
      <alignment horizontal="center" vertical="center"/>
    </xf>
    <xf numFmtId="177" fontId="97" fillId="0" borderId="101" xfId="0" applyNumberFormat="1" applyFont="1" applyBorder="1">
      <alignment vertical="center"/>
    </xf>
    <xf numFmtId="180" fontId="97" fillId="0" borderId="144" xfId="0" applyNumberFormat="1" applyFont="1" applyBorder="1" applyAlignment="1">
      <alignment horizontal="center" vertical="center"/>
    </xf>
    <xf numFmtId="177" fontId="97" fillId="0" borderId="28" xfId="0" applyNumberFormat="1" applyFont="1" applyBorder="1" applyAlignment="1">
      <alignment horizontal="center" vertical="center"/>
    </xf>
    <xf numFmtId="0" fontId="108" fillId="8" borderId="0" xfId="0" applyFont="1" applyFill="1" applyAlignment="1">
      <alignment horizontal="center" vertical="center"/>
    </xf>
    <xf numFmtId="180" fontId="97" fillId="0" borderId="145" xfId="0" applyNumberFormat="1" applyFont="1" applyBorder="1" applyAlignment="1">
      <alignment horizontal="center" vertical="center"/>
    </xf>
    <xf numFmtId="180" fontId="97" fillId="0" borderId="146" xfId="0" applyNumberFormat="1" applyFont="1" applyBorder="1" applyAlignment="1">
      <alignment horizontal="center" vertical="center"/>
    </xf>
    <xf numFmtId="177" fontId="97" fillId="0" borderId="70" xfId="0" applyNumberFormat="1" applyFont="1" applyBorder="1" applyAlignment="1">
      <alignment horizontal="center" vertical="center"/>
    </xf>
    <xf numFmtId="180" fontId="97" fillId="0" borderId="147" xfId="0" applyNumberFormat="1" applyFont="1" applyBorder="1" applyAlignment="1">
      <alignment horizontal="center" vertical="center"/>
    </xf>
    <xf numFmtId="177" fontId="97" fillId="0" borderId="154" xfId="0" applyNumberFormat="1" applyFont="1" applyBorder="1" applyAlignment="1">
      <alignment horizontal="center" vertical="center"/>
    </xf>
    <xf numFmtId="0" fontId="109" fillId="0" borderId="0" xfId="0" applyFont="1">
      <alignment vertical="center"/>
    </xf>
    <xf numFmtId="180" fontId="97" fillId="0" borderId="120" xfId="0" applyNumberFormat="1" applyFont="1" applyBorder="1" applyAlignment="1">
      <alignment horizontal="center" vertical="center"/>
    </xf>
    <xf numFmtId="177" fontId="97" fillId="0" borderId="121" xfId="0" applyNumberFormat="1" applyFont="1" applyBorder="1">
      <alignment vertical="center"/>
    </xf>
    <xf numFmtId="180" fontId="97" fillId="0" borderId="106" xfId="0" applyNumberFormat="1" applyFont="1" applyBorder="1" applyAlignment="1">
      <alignment horizontal="center" vertical="center"/>
    </xf>
    <xf numFmtId="180" fontId="97" fillId="0" borderId="60" xfId="0" applyNumberFormat="1" applyFont="1" applyBorder="1" applyAlignment="1">
      <alignment horizontal="center" vertical="center"/>
    </xf>
    <xf numFmtId="180" fontId="97" fillId="0" borderId="108" xfId="0" applyNumberFormat="1" applyFont="1" applyBorder="1" applyAlignment="1">
      <alignment horizontal="center" vertical="center"/>
    </xf>
    <xf numFmtId="180" fontId="97" fillId="0" borderId="117" xfId="0" applyNumberFormat="1" applyFont="1" applyBorder="1" applyAlignment="1">
      <alignment horizontal="center" vertical="center"/>
    </xf>
    <xf numFmtId="177" fontId="97" fillId="0" borderId="64" xfId="0" applyNumberFormat="1" applyFont="1" applyBorder="1" applyAlignment="1">
      <alignment horizontal="center" vertical="center"/>
    </xf>
    <xf numFmtId="180" fontId="97" fillId="0" borderId="150" xfId="0" applyNumberFormat="1" applyFont="1" applyBorder="1" applyAlignment="1">
      <alignment horizontal="center" vertical="center"/>
    </xf>
    <xf numFmtId="0" fontId="97" fillId="0" borderId="0" xfId="0" applyFont="1" applyAlignment="1">
      <alignment horizontal="center" vertical="center"/>
    </xf>
    <xf numFmtId="0" fontId="103" fillId="0" borderId="0" xfId="0" applyFont="1" applyAlignment="1">
      <alignment horizontal="center" vertical="center" wrapText="1"/>
    </xf>
    <xf numFmtId="177" fontId="97" fillId="0" borderId="107" xfId="0" applyNumberFormat="1" applyFont="1" applyBorder="1" applyAlignment="1">
      <alignment horizontal="center" vertical="center"/>
    </xf>
    <xf numFmtId="0" fontId="26" fillId="0" borderId="97" xfId="2" applyFont="1" applyBorder="1" applyAlignment="1">
      <alignment horizontal="center" vertical="center"/>
    </xf>
    <xf numFmtId="0" fontId="26" fillId="0" borderId="98" xfId="2" applyFont="1" applyBorder="1" applyAlignment="1">
      <alignment horizontal="center" vertical="center"/>
    </xf>
    <xf numFmtId="0" fontId="84" fillId="7" borderId="129" xfId="2" applyFont="1" applyFill="1" applyBorder="1" applyAlignment="1">
      <alignment horizontal="center" vertical="center"/>
    </xf>
    <xf numFmtId="0" fontId="84" fillId="7" borderId="130" xfId="2" applyFont="1" applyFill="1" applyBorder="1" applyAlignment="1">
      <alignment horizontal="center" vertical="center"/>
    </xf>
    <xf numFmtId="0" fontId="84" fillId="7" borderId="58" xfId="2" applyFont="1" applyFill="1" applyBorder="1" applyAlignment="1">
      <alignment horizontal="center" vertical="center"/>
    </xf>
    <xf numFmtId="0" fontId="84" fillId="7" borderId="59" xfId="2" applyFont="1" applyFill="1" applyBorder="1" applyAlignment="1">
      <alignment horizontal="center" vertical="center"/>
    </xf>
    <xf numFmtId="0" fontId="84" fillId="7" borderId="51" xfId="2" applyFont="1" applyFill="1" applyBorder="1" applyAlignment="1">
      <alignment horizontal="center" vertical="center"/>
    </xf>
    <xf numFmtId="0" fontId="84" fillId="7" borderId="54" xfId="2" applyFont="1" applyFill="1" applyBorder="1" applyAlignment="1">
      <alignment horizontal="center" vertical="center"/>
    </xf>
    <xf numFmtId="0" fontId="26" fillId="0" borderId="4" xfId="2" applyFont="1" applyBorder="1" applyAlignment="1">
      <alignment horizontal="center" vertical="center" wrapText="1"/>
    </xf>
    <xf numFmtId="0" fontId="26" fillId="0" borderId="4" xfId="2" applyFont="1" applyBorder="1" applyAlignment="1">
      <alignment horizontal="center" vertical="center"/>
    </xf>
    <xf numFmtId="0" fontId="26" fillId="0" borderId="13" xfId="2" applyFont="1" applyBorder="1" applyAlignment="1">
      <alignment horizontal="center" vertical="center"/>
    </xf>
    <xf numFmtId="0" fontId="84" fillId="7" borderId="125" xfId="2" applyFont="1" applyFill="1" applyBorder="1" applyAlignment="1">
      <alignment horizontal="center" vertical="center"/>
    </xf>
    <xf numFmtId="0" fontId="84" fillId="7" borderId="126" xfId="2" applyFont="1" applyFill="1" applyBorder="1" applyAlignment="1">
      <alignment horizontal="center" vertical="center"/>
    </xf>
    <xf numFmtId="0" fontId="84" fillId="7" borderId="127" xfId="2" applyFont="1" applyFill="1" applyBorder="1" applyAlignment="1">
      <alignment horizontal="center" vertical="center"/>
    </xf>
    <xf numFmtId="0" fontId="84" fillId="7" borderId="128" xfId="2" applyFont="1" applyFill="1" applyBorder="1" applyAlignment="1">
      <alignment horizontal="center" vertical="center"/>
    </xf>
    <xf numFmtId="0" fontId="26" fillId="0" borderId="6" xfId="2" applyFont="1" applyBorder="1" applyAlignment="1">
      <alignment horizontal="center" vertical="center"/>
    </xf>
    <xf numFmtId="0" fontId="26" fillId="0" borderId="7" xfId="2" applyFont="1" applyBorder="1" applyAlignment="1">
      <alignment horizontal="center" vertical="center"/>
    </xf>
    <xf numFmtId="177" fontId="26" fillId="0" borderId="40" xfId="3" applyFont="1" applyBorder="1" applyAlignment="1">
      <alignment horizontal="left" vertical="center"/>
    </xf>
    <xf numFmtId="177" fontId="26" fillId="0" borderId="106" xfId="3" applyFont="1" applyBorder="1" applyAlignment="1">
      <alignment horizontal="left" vertical="center"/>
    </xf>
    <xf numFmtId="177" fontId="26" fillId="0" borderId="60" xfId="3" applyFont="1" applyBorder="1" applyAlignment="1">
      <alignment horizontal="left" vertical="center"/>
    </xf>
    <xf numFmtId="0" fontId="41" fillId="0" borderId="0" xfId="0" applyFont="1" applyAlignment="1">
      <alignment horizontal="center" vertical="center"/>
    </xf>
    <xf numFmtId="0" fontId="84" fillId="7" borderId="49" xfId="2" applyFont="1" applyFill="1" applyBorder="1" applyAlignment="1">
      <alignment horizontal="center" vertical="center"/>
    </xf>
    <xf numFmtId="0" fontId="84" fillId="7" borderId="52" xfId="2" applyFont="1" applyFill="1" applyBorder="1" applyAlignment="1">
      <alignment horizontal="center" vertical="center"/>
    </xf>
    <xf numFmtId="0" fontId="84" fillId="7" borderId="50" xfId="2" applyFont="1" applyFill="1" applyBorder="1" applyAlignment="1">
      <alignment horizontal="center" vertical="center"/>
    </xf>
    <xf numFmtId="0" fontId="84" fillId="7" borderId="53" xfId="2" applyFont="1" applyFill="1" applyBorder="1" applyAlignment="1">
      <alignment horizontal="center" vertical="center"/>
    </xf>
    <xf numFmtId="0" fontId="9" fillId="0" borderId="0" xfId="0" applyFont="1">
      <alignment vertical="center"/>
    </xf>
    <xf numFmtId="0" fontId="10" fillId="4" borderId="39" xfId="0" applyFont="1" applyFill="1" applyBorder="1" applyAlignment="1">
      <alignment horizontal="center" vertical="center" wrapText="1"/>
    </xf>
    <xf numFmtId="0" fontId="10" fillId="4" borderId="47" xfId="0" applyFont="1" applyFill="1" applyBorder="1" applyAlignment="1">
      <alignment horizontal="center" vertical="center" wrapText="1"/>
    </xf>
    <xf numFmtId="0" fontId="10" fillId="4" borderId="26" xfId="0" applyFont="1" applyFill="1" applyBorder="1" applyAlignment="1">
      <alignment horizontal="center" vertical="center" wrapText="1"/>
    </xf>
    <xf numFmtId="0" fontId="8" fillId="0" borderId="60" xfId="0" applyFont="1" applyBorder="1" applyAlignment="1">
      <alignment horizontal="center" vertical="center" wrapText="1"/>
    </xf>
    <xf numFmtId="0" fontId="8" fillId="0" borderId="70" xfId="0" applyFont="1" applyBorder="1" applyAlignment="1">
      <alignment horizontal="center" vertical="center" wrapText="1"/>
    </xf>
    <xf numFmtId="0" fontId="8" fillId="0" borderId="40" xfId="0" applyFont="1" applyBorder="1" applyAlignment="1">
      <alignment horizontal="center" vertical="center" wrapText="1"/>
    </xf>
    <xf numFmtId="0" fontId="8" fillId="0" borderId="28" xfId="0" applyFont="1" applyBorder="1" applyAlignment="1">
      <alignment horizontal="center" vertical="center" wrapText="1"/>
    </xf>
    <xf numFmtId="0" fontId="8" fillId="0" borderId="30" xfId="0" applyFont="1" applyBorder="1" applyAlignment="1">
      <alignment horizontal="center" vertical="center" wrapText="1"/>
    </xf>
    <xf numFmtId="0" fontId="8" fillId="0" borderId="71" xfId="0" applyFont="1" applyBorder="1" applyAlignment="1">
      <alignment horizontal="center" vertical="center" wrapText="1"/>
    </xf>
    <xf numFmtId="0" fontId="8" fillId="0" borderId="61" xfId="0" applyFont="1" applyBorder="1" applyAlignment="1">
      <alignment horizontal="center" vertical="center" wrapText="1"/>
    </xf>
    <xf numFmtId="0" fontId="8" fillId="0" borderId="68" xfId="0" applyFont="1" applyBorder="1" applyAlignment="1">
      <alignment horizontal="center" vertical="center" wrapText="1"/>
    </xf>
    <xf numFmtId="0" fontId="8" fillId="0" borderId="66" xfId="0" applyFont="1" applyBorder="1" applyAlignment="1">
      <alignment horizontal="center" vertical="center" wrapText="1"/>
    </xf>
    <xf numFmtId="0" fontId="8" fillId="0" borderId="64" xfId="0" applyFont="1" applyBorder="1" applyAlignment="1">
      <alignment horizontal="center" vertical="center" wrapText="1"/>
    </xf>
    <xf numFmtId="0" fontId="8" fillId="0" borderId="12" xfId="0" applyFont="1" applyBorder="1" applyAlignment="1">
      <alignment horizontal="center" vertical="center" wrapText="1"/>
    </xf>
    <xf numFmtId="0" fontId="8" fillId="0" borderId="13" xfId="0" applyFont="1" applyBorder="1" applyAlignment="1">
      <alignment horizontal="center" vertical="center" wrapText="1"/>
    </xf>
    <xf numFmtId="0" fontId="8" fillId="0" borderId="72" xfId="0" applyFont="1" applyBorder="1" applyAlignment="1">
      <alignment horizontal="center" vertical="center" wrapText="1"/>
    </xf>
    <xf numFmtId="0" fontId="8" fillId="5" borderId="81" xfId="0" applyFont="1" applyFill="1" applyBorder="1" applyAlignment="1">
      <alignment horizontal="center" vertical="center" wrapText="1"/>
    </xf>
    <xf numFmtId="0" fontId="8" fillId="5" borderId="25" xfId="0" applyFont="1" applyFill="1" applyBorder="1" applyAlignment="1">
      <alignment horizontal="center" vertical="center" wrapText="1"/>
    </xf>
    <xf numFmtId="0" fontId="8" fillId="5" borderId="82" xfId="0" applyFont="1" applyFill="1" applyBorder="1" applyAlignment="1">
      <alignment horizontal="center" vertical="center" wrapText="1"/>
    </xf>
    <xf numFmtId="0" fontId="8" fillId="5" borderId="45" xfId="0" applyFont="1" applyFill="1" applyBorder="1" applyAlignment="1">
      <alignment horizontal="center" vertical="center" wrapText="1"/>
    </xf>
    <xf numFmtId="0" fontId="8" fillId="5" borderId="83" xfId="0" applyFont="1" applyFill="1" applyBorder="1" applyAlignment="1">
      <alignment horizontal="center" vertical="center" wrapText="1"/>
    </xf>
    <xf numFmtId="0" fontId="8" fillId="5" borderId="63" xfId="0" applyFont="1" applyFill="1" applyBorder="1" applyAlignment="1">
      <alignment horizontal="center" vertical="center" wrapText="1"/>
    </xf>
    <xf numFmtId="0" fontId="8" fillId="5" borderId="81" xfId="0" applyFont="1" applyFill="1" applyBorder="1" applyAlignment="1">
      <alignment horizontal="center" vertical="center"/>
    </xf>
    <xf numFmtId="0" fontId="8" fillId="5" borderId="25" xfId="0" applyFont="1" applyFill="1" applyBorder="1" applyAlignment="1">
      <alignment horizontal="center" vertical="center"/>
    </xf>
    <xf numFmtId="0" fontId="8" fillId="5" borderId="82" xfId="0" applyFont="1" applyFill="1" applyBorder="1" applyAlignment="1">
      <alignment horizontal="center" vertical="center"/>
    </xf>
    <xf numFmtId="0" fontId="8" fillId="5" borderId="45" xfId="0" applyFont="1" applyFill="1" applyBorder="1" applyAlignment="1">
      <alignment horizontal="center" vertical="center"/>
    </xf>
    <xf numFmtId="0" fontId="8" fillId="5" borderId="83" xfId="0" applyFont="1" applyFill="1" applyBorder="1" applyAlignment="1">
      <alignment horizontal="center" vertical="center"/>
    </xf>
    <xf numFmtId="0" fontId="8" fillId="5" borderId="63" xfId="0" applyFont="1" applyFill="1" applyBorder="1" applyAlignment="1">
      <alignment horizontal="center" vertical="center"/>
    </xf>
    <xf numFmtId="0" fontId="33" fillId="11" borderId="21" xfId="6" applyFont="1" applyFill="1" applyBorder="1" applyAlignment="1">
      <alignment vertical="center"/>
    </xf>
    <xf numFmtId="0" fontId="34" fillId="11" borderId="43" xfId="0" applyFont="1" applyFill="1" applyBorder="1">
      <alignment vertical="center"/>
    </xf>
    <xf numFmtId="0" fontId="34" fillId="11" borderId="22" xfId="0" applyFont="1" applyFill="1" applyBorder="1">
      <alignment vertical="center"/>
    </xf>
    <xf numFmtId="0" fontId="8" fillId="9" borderId="74" xfId="0" applyFont="1" applyFill="1" applyBorder="1" applyAlignment="1">
      <alignment horizontal="center" vertical="center" wrapText="1"/>
    </xf>
    <xf numFmtId="0" fontId="9" fillId="9" borderId="75" xfId="0" applyFont="1" applyFill="1" applyBorder="1" applyAlignment="1">
      <alignment horizontal="center" vertical="center" wrapText="1"/>
    </xf>
    <xf numFmtId="0" fontId="9" fillId="9" borderId="76" xfId="0" applyFont="1" applyFill="1" applyBorder="1" applyAlignment="1">
      <alignment horizontal="center" vertical="center" wrapText="1"/>
    </xf>
    <xf numFmtId="0" fontId="9" fillId="0" borderId="73" xfId="0" applyFont="1" applyBorder="1" applyAlignment="1">
      <alignment vertical="center" wrapText="1"/>
    </xf>
    <xf numFmtId="0" fontId="9" fillId="0" borderId="19" xfId="0" applyFont="1" applyBorder="1" applyAlignment="1">
      <alignment vertical="center" wrapText="1"/>
    </xf>
    <xf numFmtId="0" fontId="9" fillId="0" borderId="34" xfId="0" applyFont="1" applyBorder="1" applyAlignment="1">
      <alignment vertical="center" wrapText="1"/>
    </xf>
    <xf numFmtId="0" fontId="9" fillId="0" borderId="35" xfId="0" applyFont="1" applyBorder="1" applyAlignment="1">
      <alignment vertical="center" wrapText="1"/>
    </xf>
    <xf numFmtId="0" fontId="9" fillId="0" borderId="44" xfId="0" applyFont="1" applyBorder="1" applyAlignment="1">
      <alignment vertical="center" wrapText="1"/>
    </xf>
    <xf numFmtId="0" fontId="9" fillId="0" borderId="7" xfId="0" applyFont="1" applyBorder="1" applyAlignment="1">
      <alignment vertical="center" wrapText="1"/>
    </xf>
    <xf numFmtId="0" fontId="9" fillId="0" borderId="20" xfId="0" applyFont="1" applyBorder="1" applyAlignment="1">
      <alignment vertical="center" wrapText="1"/>
    </xf>
    <xf numFmtId="0" fontId="9" fillId="0" borderId="41" xfId="7" applyFont="1" applyBorder="1" applyAlignment="1">
      <alignment horizontal="center" vertical="center" wrapText="1"/>
    </xf>
    <xf numFmtId="0" fontId="9" fillId="0" borderId="32" xfId="7" applyFont="1" applyBorder="1" applyAlignment="1">
      <alignment horizontal="center" vertical="center" wrapText="1"/>
    </xf>
    <xf numFmtId="0" fontId="9" fillId="0" borderId="42" xfId="7" applyFont="1" applyBorder="1" applyAlignment="1">
      <alignment horizontal="center" vertical="center" wrapText="1"/>
    </xf>
    <xf numFmtId="177" fontId="0" fillId="0" borderId="5" xfId="3" applyFont="1" applyBorder="1" applyAlignment="1">
      <alignment vertical="center" wrapText="1"/>
    </xf>
    <xf numFmtId="177" fontId="9" fillId="0" borderId="5" xfId="3" applyFont="1" applyBorder="1" applyAlignment="1">
      <alignment vertical="center" wrapText="1"/>
    </xf>
    <xf numFmtId="9" fontId="9" fillId="8" borderId="5" xfId="7" applyNumberFormat="1" applyFont="1" applyFill="1" applyBorder="1" applyAlignment="1">
      <alignment horizontal="center" vertical="center" wrapText="1"/>
    </xf>
    <xf numFmtId="0" fontId="8" fillId="10" borderId="80" xfId="0" applyFont="1" applyFill="1" applyBorder="1" applyAlignment="1">
      <alignment horizontal="center" vertical="center" wrapText="1"/>
    </xf>
    <xf numFmtId="0" fontId="8" fillId="10" borderId="37" xfId="0" applyFont="1" applyFill="1" applyBorder="1" applyAlignment="1">
      <alignment horizontal="center" vertical="center" wrapText="1"/>
    </xf>
    <xf numFmtId="0" fontId="8" fillId="10" borderId="38" xfId="0" applyFont="1" applyFill="1" applyBorder="1" applyAlignment="1">
      <alignment horizontal="center" vertical="center" wrapText="1"/>
    </xf>
    <xf numFmtId="177" fontId="0" fillId="0" borderId="5" xfId="3" applyFont="1" applyBorder="1" applyAlignment="1">
      <alignment vertical="center"/>
    </xf>
    <xf numFmtId="177" fontId="9" fillId="0" borderId="5" xfId="3" applyFont="1" applyBorder="1" applyAlignment="1">
      <alignment vertical="center"/>
    </xf>
    <xf numFmtId="177" fontId="9" fillId="0" borderId="7" xfId="3" applyFont="1" applyBorder="1" applyAlignment="1">
      <alignment vertical="center"/>
    </xf>
    <xf numFmtId="0" fontId="9" fillId="8" borderId="5" xfId="7" applyFont="1" applyFill="1" applyBorder="1" applyAlignment="1">
      <alignment horizontal="center" vertical="center" wrapText="1"/>
    </xf>
    <xf numFmtId="0" fontId="9" fillId="8" borderId="7" xfId="7" applyFont="1" applyFill="1" applyBorder="1" applyAlignment="1">
      <alignment horizontal="center" vertical="center" wrapText="1"/>
    </xf>
    <xf numFmtId="0" fontId="9" fillId="0" borderId="33" xfId="7" applyFont="1" applyBorder="1" applyAlignment="1">
      <alignment horizontal="center" vertical="center" wrapText="1"/>
    </xf>
    <xf numFmtId="0" fontId="8" fillId="10" borderId="18" xfId="0" applyFont="1" applyFill="1" applyBorder="1" applyAlignment="1">
      <alignment horizontal="center" vertical="center" wrapText="1"/>
    </xf>
    <xf numFmtId="0" fontId="9" fillId="0" borderId="67" xfId="7" applyFont="1" applyBorder="1" applyAlignment="1">
      <alignment horizontal="center" vertical="center" wrapText="1"/>
    </xf>
    <xf numFmtId="9" fontId="9" fillId="8" borderId="73" xfId="7" applyNumberFormat="1" applyFont="1" applyFill="1" applyBorder="1" applyAlignment="1">
      <alignment horizontal="center" vertical="center" wrapText="1"/>
    </xf>
    <xf numFmtId="9" fontId="9" fillId="8" borderId="5" xfId="4" applyFont="1" applyFill="1" applyBorder="1" applyAlignment="1">
      <alignment horizontal="center" vertical="center" wrapText="1"/>
    </xf>
    <xf numFmtId="9" fontId="9" fillId="8" borderId="7" xfId="4" applyFont="1" applyFill="1" applyBorder="1" applyAlignment="1">
      <alignment horizontal="center" vertical="center" wrapText="1"/>
    </xf>
    <xf numFmtId="0" fontId="9" fillId="0" borderId="41" xfId="4" applyNumberFormat="1" applyFont="1" applyBorder="1" applyAlignment="1">
      <alignment horizontal="center" vertical="center" wrapText="1"/>
    </xf>
    <xf numFmtId="0" fontId="9" fillId="0" borderId="32" xfId="4" applyNumberFormat="1" applyFont="1" applyBorder="1" applyAlignment="1">
      <alignment horizontal="center" vertical="center" wrapText="1"/>
    </xf>
    <xf numFmtId="0" fontId="9" fillId="0" borderId="33" xfId="4" applyNumberFormat="1" applyFont="1" applyBorder="1" applyAlignment="1">
      <alignment horizontal="center" vertical="center" wrapText="1"/>
    </xf>
    <xf numFmtId="0" fontId="28" fillId="2" borderId="0" xfId="5" applyFont="1" applyFill="1" applyAlignment="1">
      <alignment horizontal="left" vertical="center"/>
    </xf>
    <xf numFmtId="0" fontId="21" fillId="10" borderId="39" xfId="0" applyFont="1" applyFill="1" applyBorder="1" applyAlignment="1">
      <alignment horizontal="center" vertical="center" wrapText="1"/>
    </xf>
    <xf numFmtId="0" fontId="8" fillId="10" borderId="4" xfId="0" applyFont="1" applyFill="1" applyBorder="1" applyAlignment="1">
      <alignment horizontal="center" vertical="center" wrapText="1"/>
    </xf>
    <xf numFmtId="177" fontId="9" fillId="0" borderId="26" xfId="3" applyFont="1" applyBorder="1" applyAlignment="1">
      <alignment vertical="center"/>
    </xf>
    <xf numFmtId="9" fontId="9" fillId="8" borderId="26" xfId="4" applyFont="1" applyFill="1" applyBorder="1" applyAlignment="1">
      <alignment horizontal="center" vertical="center" wrapText="1"/>
    </xf>
    <xf numFmtId="0" fontId="9" fillId="0" borderId="29" xfId="4" applyNumberFormat="1" applyFont="1" applyBorder="1" applyAlignment="1">
      <alignment horizontal="center" vertical="center" wrapText="1"/>
    </xf>
    <xf numFmtId="0" fontId="9" fillId="0" borderId="42" xfId="4" applyNumberFormat="1" applyFont="1" applyBorder="1" applyAlignment="1">
      <alignment horizontal="center" vertical="center" wrapText="1"/>
    </xf>
    <xf numFmtId="0" fontId="101" fillId="0" borderId="46" xfId="1021" applyFont="1" applyBorder="1" applyAlignment="1">
      <alignment horizontal="center" vertical="center"/>
    </xf>
    <xf numFmtId="0" fontId="105" fillId="0" borderId="0" xfId="0" applyFont="1" applyAlignment="1">
      <alignment horizontal="center" vertical="center"/>
    </xf>
    <xf numFmtId="177" fontId="97" fillId="0" borderId="28" xfId="0" applyNumberFormat="1" applyFont="1" applyBorder="1">
      <alignment vertical="center"/>
    </xf>
    <xf numFmtId="177" fontId="97" fillId="0" borderId="70" xfId="0" applyNumberFormat="1" applyFont="1" applyBorder="1">
      <alignment vertical="center"/>
    </xf>
    <xf numFmtId="0" fontId="103" fillId="0" borderId="0" xfId="0" applyFont="1" applyAlignment="1">
      <alignment horizontal="center" vertical="center" wrapText="1"/>
    </xf>
    <xf numFmtId="0" fontId="104" fillId="13" borderId="34" xfId="0" applyFont="1" applyFill="1" applyBorder="1" applyAlignment="1">
      <alignment horizontal="center" vertical="center"/>
    </xf>
    <xf numFmtId="0" fontId="104" fillId="13" borderId="35" xfId="0" applyFont="1" applyFill="1" applyBorder="1" applyAlignment="1">
      <alignment horizontal="center" vertical="center"/>
    </xf>
    <xf numFmtId="0" fontId="104" fillId="13" borderId="36" xfId="0" applyFont="1" applyFill="1" applyBorder="1" applyAlignment="1">
      <alignment horizontal="center" vertical="center"/>
    </xf>
    <xf numFmtId="0" fontId="105" fillId="0" borderId="34" xfId="0" applyFont="1" applyBorder="1" applyAlignment="1">
      <alignment horizontal="center" vertical="center"/>
    </xf>
    <xf numFmtId="0" fontId="105" fillId="0" borderId="35" xfId="0" applyFont="1" applyBorder="1" applyAlignment="1">
      <alignment horizontal="center" vertical="center"/>
    </xf>
    <xf numFmtId="0" fontId="105" fillId="0" borderId="36" xfId="0" applyFont="1" applyBorder="1" applyAlignment="1">
      <alignment horizontal="center" vertical="center"/>
    </xf>
    <xf numFmtId="177" fontId="105" fillId="0" borderId="104" xfId="0" applyNumberFormat="1" applyFont="1" applyBorder="1" applyAlignment="1">
      <alignment horizontal="left" vertical="center"/>
    </xf>
    <xf numFmtId="177" fontId="105" fillId="0" borderId="101" xfId="0" applyNumberFormat="1" applyFont="1" applyBorder="1" applyAlignment="1">
      <alignment horizontal="left" vertical="center"/>
    </xf>
    <xf numFmtId="0" fontId="97" fillId="0" borderId="103" xfId="0" applyFont="1" applyBorder="1" applyAlignment="1">
      <alignment horizontal="left" vertical="center"/>
    </xf>
    <xf numFmtId="0" fontId="97" fillId="0" borderId="99" xfId="0" applyFont="1" applyBorder="1" applyAlignment="1">
      <alignment horizontal="left" vertical="center"/>
    </xf>
    <xf numFmtId="0" fontId="97" fillId="0" borderId="91" xfId="0" applyFont="1" applyBorder="1" applyAlignment="1">
      <alignment horizontal="left" vertical="center"/>
    </xf>
    <xf numFmtId="0" fontId="97" fillId="0" borderId="64" xfId="0" applyFont="1" applyBorder="1" applyAlignment="1">
      <alignment horizontal="center" vertical="center"/>
    </xf>
    <xf numFmtId="0" fontId="105" fillId="0" borderId="102" xfId="0" applyFont="1" applyBorder="1" applyAlignment="1">
      <alignment horizontal="left" vertical="center"/>
    </xf>
    <xf numFmtId="0" fontId="105" fillId="0" borderId="84" xfId="0" applyFont="1" applyBorder="1" applyAlignment="1">
      <alignment horizontal="left" vertical="center"/>
    </xf>
    <xf numFmtId="0" fontId="105" fillId="0" borderId="105" xfId="0" applyFont="1" applyBorder="1" applyAlignment="1">
      <alignment horizontal="left" vertical="center"/>
    </xf>
    <xf numFmtId="0" fontId="97" fillId="0" borderId="102" xfId="0" applyFont="1" applyBorder="1" applyAlignment="1">
      <alignment horizontal="center" vertical="center"/>
    </xf>
    <xf numFmtId="0" fontId="97" fillId="0" borderId="84" xfId="0" applyFont="1" applyBorder="1" applyAlignment="1">
      <alignment horizontal="center" vertical="center"/>
    </xf>
    <xf numFmtId="0" fontId="97" fillId="0" borderId="105" xfId="0" applyFont="1" applyBorder="1" applyAlignment="1">
      <alignment horizontal="center" vertical="center"/>
    </xf>
    <xf numFmtId="177" fontId="105" fillId="0" borderId="40" xfId="0" applyNumberFormat="1" applyFont="1" applyBorder="1" applyAlignment="1">
      <alignment horizontal="left" vertical="center"/>
    </xf>
    <xf numFmtId="177" fontId="105" fillId="0" borderId="28" xfId="0" applyNumberFormat="1" applyFont="1" applyBorder="1" applyAlignment="1">
      <alignment horizontal="left" vertical="center"/>
    </xf>
    <xf numFmtId="0" fontId="97" fillId="0" borderId="28" xfId="0" applyFont="1" applyBorder="1" applyAlignment="1">
      <alignment horizontal="center" vertical="center"/>
    </xf>
    <xf numFmtId="0" fontId="107" fillId="0" borderId="28" xfId="973" applyFont="1" applyBorder="1" applyAlignment="1" applyProtection="1">
      <alignment horizontal="center" vertical="center"/>
    </xf>
    <xf numFmtId="0" fontId="97" fillId="0" borderId="57" xfId="0" applyFont="1" applyBorder="1" applyAlignment="1">
      <alignment horizontal="center" vertical="center"/>
    </xf>
    <xf numFmtId="177" fontId="105" fillId="0" borderId="100" xfId="0" applyNumberFormat="1" applyFont="1" applyBorder="1" applyAlignment="1">
      <alignment horizontal="left" vertical="center"/>
    </xf>
    <xf numFmtId="0" fontId="97" fillId="0" borderId="101" xfId="0" applyFont="1" applyBorder="1" applyAlignment="1">
      <alignment horizontal="center" vertical="center"/>
    </xf>
    <xf numFmtId="0" fontId="97" fillId="0" borderId="56" xfId="0" applyFont="1" applyBorder="1" applyAlignment="1">
      <alignment horizontal="center" vertical="center"/>
    </xf>
    <xf numFmtId="177" fontId="97" fillId="0" borderId="114" xfId="0" applyNumberFormat="1" applyFont="1" applyBorder="1" applyAlignment="1">
      <alignment horizontal="left" vertical="top" wrapText="1"/>
    </xf>
    <xf numFmtId="177" fontId="97" fillId="0" borderId="115" xfId="0" applyNumberFormat="1" applyFont="1" applyBorder="1" applyAlignment="1">
      <alignment horizontal="left" vertical="top" wrapText="1"/>
    </xf>
    <xf numFmtId="177" fontId="97" fillId="0" borderId="116" xfId="0" applyNumberFormat="1" applyFont="1" applyBorder="1" applyAlignment="1">
      <alignment horizontal="left" vertical="top" wrapText="1"/>
    </xf>
    <xf numFmtId="177" fontId="97" fillId="0" borderId="110" xfId="0" applyNumberFormat="1" applyFont="1" applyBorder="1" applyAlignment="1">
      <alignment horizontal="left" vertical="top" wrapText="1"/>
    </xf>
    <xf numFmtId="177" fontId="97" fillId="0" borderId="0" xfId="0" applyNumberFormat="1" applyFont="1" applyAlignment="1">
      <alignment horizontal="left" vertical="top" wrapText="1"/>
    </xf>
    <xf numFmtId="177" fontId="97" fillId="0" borderId="111" xfId="0" applyNumberFormat="1" applyFont="1" applyBorder="1" applyAlignment="1">
      <alignment horizontal="left" vertical="top" wrapText="1"/>
    </xf>
    <xf numFmtId="177" fontId="97" fillId="0" borderId="112" xfId="0" applyNumberFormat="1" applyFont="1" applyBorder="1" applyAlignment="1">
      <alignment horizontal="left" vertical="top" wrapText="1"/>
    </xf>
    <xf numFmtId="177" fontId="97" fillId="0" borderId="68" xfId="0" applyNumberFormat="1" applyFont="1" applyBorder="1" applyAlignment="1">
      <alignment horizontal="left" vertical="top" wrapText="1"/>
    </xf>
    <xf numFmtId="177" fontId="97" fillId="0" borderId="113" xfId="0" applyNumberFormat="1" applyFont="1" applyBorder="1" applyAlignment="1">
      <alignment horizontal="left" vertical="top" wrapText="1"/>
    </xf>
    <xf numFmtId="0" fontId="109" fillId="8" borderId="34" xfId="0" applyFont="1" applyFill="1" applyBorder="1" applyAlignment="1">
      <alignment horizontal="center" vertical="center"/>
    </xf>
    <xf numFmtId="0" fontId="109" fillId="8" borderId="35" xfId="0" applyFont="1" applyFill="1" applyBorder="1" applyAlignment="1">
      <alignment horizontal="center" vertical="center"/>
    </xf>
    <xf numFmtId="0" fontId="109" fillId="8" borderId="36" xfId="0" applyFont="1" applyFill="1" applyBorder="1" applyAlignment="1">
      <alignment horizontal="center" vertical="center"/>
    </xf>
    <xf numFmtId="0" fontId="105" fillId="8" borderId="34" xfId="0" applyFont="1" applyFill="1" applyBorder="1" applyAlignment="1">
      <alignment horizontal="center" vertical="center"/>
    </xf>
    <xf numFmtId="0" fontId="105" fillId="8" borderId="35" xfId="0" applyFont="1" applyFill="1" applyBorder="1" applyAlignment="1">
      <alignment horizontal="center" vertical="center"/>
    </xf>
    <xf numFmtId="0" fontId="105" fillId="8" borderId="36" xfId="0" applyFont="1" applyFill="1" applyBorder="1" applyAlignment="1">
      <alignment horizontal="center" vertical="center"/>
    </xf>
    <xf numFmtId="177" fontId="97" fillId="0" borderId="107" xfId="0" applyNumberFormat="1" applyFont="1" applyBorder="1" applyAlignment="1">
      <alignment horizontal="left" vertical="center"/>
    </xf>
    <xf numFmtId="177" fontId="97" fillId="0" borderId="28" xfId="0" applyNumberFormat="1" applyFont="1" applyBorder="1" applyAlignment="1">
      <alignment vertical="center" wrapText="1"/>
    </xf>
    <xf numFmtId="177" fontId="97" fillId="0" borderId="109" xfId="0" applyNumberFormat="1" applyFont="1" applyBorder="1" applyAlignment="1">
      <alignment horizontal="center" vertical="center"/>
    </xf>
    <xf numFmtId="0" fontId="94" fillId="9" borderId="23" xfId="0" applyFont="1" applyFill="1" applyBorder="1" applyAlignment="1">
      <alignment horizontal="center" vertical="center" wrapText="1"/>
    </xf>
    <xf numFmtId="0" fontId="94" fillId="9" borderId="24" xfId="0" applyFont="1" applyFill="1" applyBorder="1" applyAlignment="1">
      <alignment horizontal="center" vertical="center" wrapText="1"/>
    </xf>
    <xf numFmtId="0" fontId="94" fillId="9" borderId="25" xfId="0" applyFont="1" applyFill="1" applyBorder="1" applyAlignment="1">
      <alignment horizontal="center" vertical="center" wrapText="1"/>
    </xf>
    <xf numFmtId="177" fontId="105" fillId="0" borderId="72" xfId="0" applyNumberFormat="1" applyFont="1" applyBorder="1" applyAlignment="1">
      <alignment horizontal="left" vertical="center"/>
    </xf>
    <xf numFmtId="177" fontId="105" fillId="0" borderId="84" xfId="0" applyNumberFormat="1" applyFont="1" applyBorder="1" applyAlignment="1">
      <alignment horizontal="left" vertical="center"/>
    </xf>
    <xf numFmtId="177" fontId="105" fillId="0" borderId="105" xfId="0" applyNumberFormat="1" applyFont="1" applyBorder="1" applyAlignment="1">
      <alignment horizontal="left" vertical="center"/>
    </xf>
    <xf numFmtId="177" fontId="97" fillId="0" borderId="102" xfId="0" applyNumberFormat="1" applyFont="1" applyBorder="1" applyAlignment="1">
      <alignment horizontal="left" vertical="center"/>
    </xf>
    <xf numFmtId="177" fontId="97" fillId="0" borderId="84" xfId="0" applyNumberFormat="1" applyFont="1" applyBorder="1" applyAlignment="1">
      <alignment horizontal="left" vertical="center"/>
    </xf>
    <xf numFmtId="177" fontId="105" fillId="0" borderId="102" xfId="0" applyNumberFormat="1" applyFont="1" applyBorder="1" applyAlignment="1">
      <alignment horizontal="left" vertical="center"/>
    </xf>
    <xf numFmtId="177" fontId="97" fillId="0" borderId="79" xfId="0" applyNumberFormat="1" applyFont="1" applyBorder="1" applyAlignment="1">
      <alignment horizontal="left" vertical="center"/>
    </xf>
    <xf numFmtId="177" fontId="97" fillId="0" borderId="101" xfId="0" applyNumberFormat="1" applyFont="1" applyBorder="1" applyAlignment="1">
      <alignment horizontal="center" vertical="center"/>
    </xf>
    <xf numFmtId="0" fontId="97" fillId="0" borderId="143" xfId="0" applyFont="1" applyBorder="1" applyAlignment="1">
      <alignment horizontal="center" vertical="center"/>
    </xf>
    <xf numFmtId="177" fontId="105" fillId="0" borderId="66" xfId="0" applyNumberFormat="1" applyFont="1" applyBorder="1" applyAlignment="1">
      <alignment horizontal="left" vertical="center"/>
    </xf>
    <xf numFmtId="177" fontId="105" fillId="0" borderId="64" xfId="0" applyNumberFormat="1" applyFont="1" applyBorder="1" applyAlignment="1">
      <alignment horizontal="left" vertical="center"/>
    </xf>
    <xf numFmtId="0" fontId="97" fillId="0" borderId="65" xfId="0" applyFont="1" applyBorder="1" applyAlignment="1">
      <alignment horizontal="center" vertical="center"/>
    </xf>
    <xf numFmtId="0" fontId="97" fillId="0" borderId="104" xfId="0" applyFont="1" applyBorder="1" applyAlignment="1">
      <alignment horizontal="left" vertical="center"/>
    </xf>
    <xf numFmtId="0" fontId="106" fillId="8" borderId="0" xfId="0" applyFont="1" applyFill="1" applyAlignment="1">
      <alignment horizontal="center" vertical="center"/>
    </xf>
    <xf numFmtId="180" fontId="97" fillId="0" borderId="144" xfId="0" applyNumberFormat="1" applyFont="1" applyBorder="1" applyAlignment="1">
      <alignment horizontal="center" vertical="center"/>
    </xf>
    <xf numFmtId="180" fontId="97" fillId="0" borderId="146" xfId="0" applyNumberFormat="1" applyFont="1" applyBorder="1" applyAlignment="1">
      <alignment horizontal="center" vertical="center"/>
    </xf>
    <xf numFmtId="0" fontId="97" fillId="0" borderId="121" xfId="0" applyFont="1" applyBorder="1" applyAlignment="1">
      <alignment horizontal="center" vertical="center"/>
    </xf>
    <xf numFmtId="0" fontId="97" fillId="0" borderId="122" xfId="0" applyFont="1" applyBorder="1" applyAlignment="1">
      <alignment horizontal="center" vertical="center"/>
    </xf>
    <xf numFmtId="177" fontId="97" fillId="0" borderId="114" xfId="0" applyNumberFormat="1" applyFont="1" applyBorder="1" applyAlignment="1">
      <alignment horizontal="left" vertical="center"/>
    </xf>
    <xf numFmtId="177" fontId="97" fillId="0" borderId="115" xfId="0" applyNumberFormat="1" applyFont="1" applyBorder="1" applyAlignment="1">
      <alignment horizontal="left" vertical="center"/>
    </xf>
    <xf numFmtId="177" fontId="97" fillId="0" borderId="116" xfId="0" applyNumberFormat="1" applyFont="1" applyBorder="1" applyAlignment="1">
      <alignment horizontal="left" vertical="center"/>
    </xf>
    <xf numFmtId="177" fontId="97" fillId="0" borderId="112" xfId="0" applyNumberFormat="1" applyFont="1" applyBorder="1" applyAlignment="1">
      <alignment horizontal="left" vertical="center"/>
    </xf>
    <xf numFmtId="177" fontId="97" fillId="0" borderId="68" xfId="0" applyNumberFormat="1" applyFont="1" applyBorder="1" applyAlignment="1">
      <alignment horizontal="left" vertical="center"/>
    </xf>
    <xf numFmtId="177" fontId="97" fillId="0" borderId="113" xfId="0" applyNumberFormat="1" applyFont="1" applyBorder="1" applyAlignment="1">
      <alignment horizontal="left" vertical="center"/>
    </xf>
    <xf numFmtId="177" fontId="97" fillId="0" borderId="114" xfId="0" applyNumberFormat="1" applyFont="1" applyBorder="1" applyAlignment="1">
      <alignment horizontal="left" vertical="center" wrapText="1"/>
    </xf>
    <xf numFmtId="177" fontId="97" fillId="0" borderId="115" xfId="0" applyNumberFormat="1" applyFont="1" applyBorder="1" applyAlignment="1">
      <alignment horizontal="left" vertical="center" wrapText="1"/>
    </xf>
    <xf numFmtId="177" fontId="97" fillId="0" borderId="116" xfId="0" applyNumberFormat="1" applyFont="1" applyBorder="1" applyAlignment="1">
      <alignment horizontal="left" vertical="center" wrapText="1"/>
    </xf>
    <xf numFmtId="177" fontId="97" fillId="0" borderId="110" xfId="0" applyNumberFormat="1" applyFont="1" applyBorder="1" applyAlignment="1">
      <alignment horizontal="left" vertical="center" wrapText="1"/>
    </xf>
    <xf numFmtId="177" fontId="97" fillId="0" borderId="0" xfId="0" applyNumberFormat="1" applyFont="1" applyAlignment="1">
      <alignment horizontal="left" vertical="center" wrapText="1"/>
    </xf>
    <xf numFmtId="177" fontId="97" fillId="0" borderId="111" xfId="0" applyNumberFormat="1" applyFont="1" applyBorder="1" applyAlignment="1">
      <alignment horizontal="left" vertical="center" wrapText="1"/>
    </xf>
    <xf numFmtId="177" fontId="97" fillId="0" borderId="112" xfId="0" applyNumberFormat="1" applyFont="1" applyBorder="1" applyAlignment="1">
      <alignment horizontal="left" vertical="center" wrapText="1"/>
    </xf>
    <xf numFmtId="177" fontId="97" fillId="0" borderId="68" xfId="0" applyNumberFormat="1" applyFont="1" applyBorder="1" applyAlignment="1">
      <alignment horizontal="left" vertical="center" wrapText="1"/>
    </xf>
    <xf numFmtId="177" fontId="97" fillId="0" borderId="113" xfId="0" applyNumberFormat="1" applyFont="1" applyBorder="1" applyAlignment="1">
      <alignment horizontal="left" vertical="center" wrapText="1"/>
    </xf>
    <xf numFmtId="177" fontId="97" fillId="0" borderId="114" xfId="0" applyNumberFormat="1" applyFont="1" applyBorder="1" applyAlignment="1">
      <alignment horizontal="center" vertical="center"/>
    </xf>
    <xf numFmtId="177" fontId="97" fillId="0" borderId="115" xfId="0" applyNumberFormat="1" applyFont="1" applyBorder="1" applyAlignment="1">
      <alignment horizontal="center" vertical="center"/>
    </xf>
    <xf numFmtId="177" fontId="97" fillId="0" borderId="116" xfId="0" applyNumberFormat="1" applyFont="1" applyBorder="1" applyAlignment="1">
      <alignment horizontal="center" vertical="center"/>
    </xf>
    <xf numFmtId="177" fontId="97" fillId="0" borderId="110" xfId="0" applyNumberFormat="1" applyFont="1" applyBorder="1" applyAlignment="1">
      <alignment horizontal="center" vertical="center"/>
    </xf>
    <xf numFmtId="177" fontId="97" fillId="0" borderId="0" xfId="0" applyNumberFormat="1" applyFont="1" applyAlignment="1">
      <alignment horizontal="center" vertical="center"/>
    </xf>
    <xf numFmtId="177" fontId="97" fillId="0" borderId="111" xfId="0" applyNumberFormat="1" applyFont="1" applyBorder="1" applyAlignment="1">
      <alignment horizontal="center" vertical="center"/>
    </xf>
    <xf numFmtId="177" fontId="97" fillId="0" borderId="112" xfId="0" applyNumberFormat="1" applyFont="1" applyBorder="1" applyAlignment="1">
      <alignment horizontal="center" vertical="center"/>
    </xf>
    <xf numFmtId="177" fontId="97" fillId="0" borderId="68" xfId="0" applyNumberFormat="1" applyFont="1" applyBorder="1" applyAlignment="1">
      <alignment horizontal="center" vertical="center"/>
    </xf>
    <xf numFmtId="177" fontId="97" fillId="0" borderId="113" xfId="0" applyNumberFormat="1" applyFont="1" applyBorder="1" applyAlignment="1">
      <alignment horizontal="center" vertical="center"/>
    </xf>
    <xf numFmtId="177" fontId="97" fillId="0" borderId="64" xfId="0" applyNumberFormat="1" applyFont="1" applyBorder="1">
      <alignment vertical="center"/>
    </xf>
    <xf numFmtId="0" fontId="94" fillId="9" borderId="141" xfId="0" applyFont="1" applyFill="1" applyBorder="1" applyAlignment="1">
      <alignment horizontal="center" vertical="center" wrapText="1"/>
    </xf>
    <xf numFmtId="0" fontId="94" fillId="9" borderId="75" xfId="0" applyFont="1" applyFill="1" applyBorder="1" applyAlignment="1">
      <alignment horizontal="center" vertical="center" wrapText="1"/>
    </xf>
    <xf numFmtId="0" fontId="94" fillId="9" borderId="76" xfId="0" applyFont="1" applyFill="1" applyBorder="1" applyAlignment="1">
      <alignment horizontal="center" vertical="center" wrapText="1"/>
    </xf>
    <xf numFmtId="177" fontId="97" fillId="0" borderId="121" xfId="0" applyNumberFormat="1" applyFont="1" applyBorder="1" applyAlignment="1">
      <alignment horizontal="center" vertical="center"/>
    </xf>
    <xf numFmtId="0" fontId="97" fillId="0" borderId="151" xfId="0" applyFont="1" applyBorder="1" applyAlignment="1">
      <alignment horizontal="center" vertical="center"/>
    </xf>
    <xf numFmtId="177" fontId="97" fillId="0" borderId="114" xfId="0" applyNumberFormat="1" applyFont="1" applyBorder="1" applyAlignment="1">
      <alignment vertical="top" wrapText="1"/>
    </xf>
    <xf numFmtId="177" fontId="97" fillId="0" borderId="115" xfId="0" applyNumberFormat="1" applyFont="1" applyBorder="1" applyAlignment="1">
      <alignment vertical="top" wrapText="1"/>
    </xf>
    <xf numFmtId="177" fontId="97" fillId="0" borderId="116" xfId="0" applyNumberFormat="1" applyFont="1" applyBorder="1" applyAlignment="1">
      <alignment vertical="top" wrapText="1"/>
    </xf>
    <xf numFmtId="177" fontId="97" fillId="0" borderId="112" xfId="0" applyNumberFormat="1" applyFont="1" applyBorder="1" applyAlignment="1">
      <alignment vertical="top" wrapText="1"/>
    </xf>
    <xf numFmtId="177" fontId="97" fillId="0" borderId="68" xfId="0" applyNumberFormat="1" applyFont="1" applyBorder="1" applyAlignment="1">
      <alignment vertical="top" wrapText="1"/>
    </xf>
    <xf numFmtId="177" fontId="97" fillId="0" borderId="113" xfId="0" applyNumberFormat="1" applyFont="1" applyBorder="1" applyAlignment="1">
      <alignment vertical="top" wrapText="1"/>
    </xf>
    <xf numFmtId="177" fontId="97" fillId="0" borderId="118" xfId="0" applyNumberFormat="1" applyFont="1" applyBorder="1" applyAlignment="1">
      <alignment horizontal="left" vertical="top" wrapText="1"/>
    </xf>
    <xf numFmtId="177" fontId="97" fillId="0" borderId="69" xfId="0" applyNumberFormat="1" applyFont="1" applyBorder="1" applyAlignment="1">
      <alignment horizontal="left" vertical="top" wrapText="1"/>
    </xf>
    <xf numFmtId="177" fontId="97" fillId="0" borderId="119" xfId="0" applyNumberFormat="1" applyFont="1" applyBorder="1" applyAlignment="1">
      <alignment horizontal="left" vertical="top" wrapText="1"/>
    </xf>
    <xf numFmtId="0" fontId="105" fillId="0" borderId="0" xfId="0" applyFont="1" applyAlignment="1">
      <alignment horizontal="left" vertical="center"/>
    </xf>
    <xf numFmtId="0" fontId="94" fillId="9" borderId="34" xfId="0" applyFont="1" applyFill="1" applyBorder="1" applyAlignment="1">
      <alignment horizontal="center" vertical="center" wrapText="1"/>
    </xf>
    <xf numFmtId="0" fontId="94" fillId="9" borderId="35" xfId="0" applyFont="1" applyFill="1" applyBorder="1" applyAlignment="1">
      <alignment horizontal="center" vertical="center" wrapText="1"/>
    </xf>
    <xf numFmtId="0" fontId="94" fillId="9" borderId="36" xfId="0" applyFont="1" applyFill="1" applyBorder="1" applyAlignment="1">
      <alignment horizontal="center" vertical="center" wrapText="1"/>
    </xf>
    <xf numFmtId="177" fontId="97" fillId="0" borderId="152" xfId="0" applyNumberFormat="1" applyFont="1" applyBorder="1" applyAlignment="1">
      <alignment horizontal="left" vertical="center"/>
    </xf>
    <xf numFmtId="177" fontId="97" fillId="0" borderId="153" xfId="0" applyNumberFormat="1" applyFont="1" applyBorder="1" applyAlignment="1">
      <alignment horizontal="left" vertical="center"/>
    </xf>
    <xf numFmtId="177" fontId="97" fillId="0" borderId="148" xfId="0" applyNumberFormat="1" applyFont="1" applyBorder="1" applyAlignment="1">
      <alignment horizontal="center" vertical="center"/>
    </xf>
    <xf numFmtId="177" fontId="97" fillId="0" borderId="46" xfId="0" applyNumberFormat="1" applyFont="1" applyBorder="1" applyAlignment="1">
      <alignment horizontal="center" vertical="center"/>
    </xf>
    <xf numFmtId="177" fontId="97" fillId="0" borderId="149" xfId="0" applyNumberFormat="1" applyFont="1" applyBorder="1" applyAlignment="1">
      <alignment horizontal="center" vertical="center"/>
    </xf>
    <xf numFmtId="177" fontId="97" fillId="0" borderId="148" xfId="0" quotePrefix="1" applyNumberFormat="1" applyFont="1" applyBorder="1" applyAlignment="1">
      <alignment horizontal="center" vertical="center"/>
    </xf>
    <xf numFmtId="177" fontId="97" fillId="0" borderId="46" xfId="0" quotePrefix="1" applyNumberFormat="1" applyFont="1" applyBorder="1" applyAlignment="1">
      <alignment horizontal="center" vertical="center"/>
    </xf>
    <xf numFmtId="177" fontId="97" fillId="0" borderId="95" xfId="0" quotePrefix="1" applyNumberFormat="1" applyFont="1" applyBorder="1" applyAlignment="1">
      <alignment horizontal="center" vertical="center"/>
    </xf>
    <xf numFmtId="177" fontId="97" fillId="0" borderId="148" xfId="0" applyNumberFormat="1" applyFont="1" applyBorder="1" applyAlignment="1">
      <alignment vertical="top" wrapText="1"/>
    </xf>
    <xf numFmtId="177" fontId="97" fillId="0" borderId="46" xfId="0" applyNumberFormat="1" applyFont="1" applyBorder="1" applyAlignment="1">
      <alignment vertical="top" wrapText="1"/>
    </xf>
    <xf numFmtId="177" fontId="97" fillId="0" borderId="149" xfId="0" applyNumberFormat="1" applyFont="1" applyBorder="1" applyAlignment="1">
      <alignment vertical="top" wrapText="1"/>
    </xf>
    <xf numFmtId="177" fontId="97" fillId="0" borderId="148" xfId="0" applyNumberFormat="1" applyFont="1" applyBorder="1" applyAlignment="1">
      <alignment horizontal="left" vertical="top" wrapText="1"/>
    </xf>
    <xf numFmtId="177" fontId="97" fillId="0" borderId="46" xfId="0" applyNumberFormat="1" applyFont="1" applyBorder="1" applyAlignment="1">
      <alignment horizontal="left" vertical="top" wrapText="1"/>
    </xf>
    <xf numFmtId="177" fontId="97" fillId="0" borderId="149" xfId="0" applyNumberFormat="1" applyFont="1" applyBorder="1" applyAlignment="1">
      <alignment horizontal="left" vertical="top" wrapText="1"/>
    </xf>
    <xf numFmtId="177" fontId="97" fillId="0" borderId="110" xfId="0" quotePrefix="1" applyNumberFormat="1" applyFont="1" applyBorder="1" applyAlignment="1">
      <alignment horizontal="center" vertical="center"/>
    </xf>
    <xf numFmtId="177" fontId="97" fillId="0" borderId="94" xfId="0" quotePrefix="1" applyNumberFormat="1" applyFont="1" applyBorder="1" applyAlignment="1">
      <alignment horizontal="center" vertical="center"/>
    </xf>
    <xf numFmtId="177" fontId="97" fillId="0" borderId="114" xfId="0" applyNumberFormat="1" applyFont="1" applyBorder="1" applyAlignment="1">
      <alignment horizontal="center" vertical="center" wrapText="1"/>
    </xf>
    <xf numFmtId="177" fontId="97" fillId="0" borderId="115" xfId="0" applyNumberFormat="1" applyFont="1" applyBorder="1" applyAlignment="1">
      <alignment horizontal="center" vertical="center" wrapText="1"/>
    </xf>
    <xf numFmtId="177" fontId="97" fillId="0" borderId="116" xfId="0" applyNumberFormat="1" applyFont="1" applyBorder="1" applyAlignment="1">
      <alignment horizontal="center" vertical="center" wrapText="1"/>
    </xf>
    <xf numFmtId="177" fontId="97" fillId="0" borderId="110" xfId="0" applyNumberFormat="1" applyFont="1" applyBorder="1" applyAlignment="1">
      <alignment horizontal="center" vertical="center" wrapText="1"/>
    </xf>
    <xf numFmtId="177" fontId="97" fillId="0" borderId="0" xfId="0" applyNumberFormat="1" applyFont="1" applyAlignment="1">
      <alignment horizontal="center" vertical="center" wrapText="1"/>
    </xf>
    <xf numFmtId="177" fontId="97" fillId="0" borderId="111" xfId="0" applyNumberFormat="1" applyFont="1" applyBorder="1" applyAlignment="1">
      <alignment horizontal="center" vertical="center" wrapText="1"/>
    </xf>
    <xf numFmtId="177" fontId="97" fillId="0" borderId="148" xfId="0" applyNumberFormat="1" applyFont="1" applyBorder="1" applyAlignment="1">
      <alignment horizontal="center" vertical="center" wrapText="1"/>
    </xf>
    <xf numFmtId="177" fontId="97" fillId="0" borderId="46" xfId="0" applyNumberFormat="1" applyFont="1" applyBorder="1" applyAlignment="1">
      <alignment horizontal="center" vertical="center" wrapText="1"/>
    </xf>
    <xf numFmtId="177" fontId="97" fillId="0" borderId="149" xfId="0" applyNumberFormat="1" applyFont="1" applyBorder="1" applyAlignment="1">
      <alignment horizontal="center" vertical="center" wrapText="1"/>
    </xf>
    <xf numFmtId="0" fontId="102" fillId="0" borderId="0" xfId="0" applyFont="1" applyAlignment="1">
      <alignment horizontal="center" vertical="center"/>
    </xf>
    <xf numFmtId="177" fontId="97" fillId="0" borderId="114" xfId="0" quotePrefix="1" applyNumberFormat="1" applyFont="1" applyBorder="1" applyAlignment="1">
      <alignment horizontal="left" vertical="center" wrapText="1"/>
    </xf>
    <xf numFmtId="177" fontId="97" fillId="0" borderId="115" xfId="0" quotePrefix="1" applyNumberFormat="1" applyFont="1" applyBorder="1" applyAlignment="1">
      <alignment horizontal="left" vertical="center" wrapText="1"/>
    </xf>
    <xf numFmtId="177" fontId="97" fillId="0" borderId="155" xfId="0" quotePrefix="1" applyNumberFormat="1" applyFont="1" applyBorder="1" applyAlignment="1">
      <alignment horizontal="left" vertical="center" wrapText="1"/>
    </xf>
    <xf numFmtId="177" fontId="97" fillId="0" borderId="110" xfId="0" quotePrefix="1" applyNumberFormat="1" applyFont="1" applyBorder="1" applyAlignment="1">
      <alignment horizontal="left" vertical="center" wrapText="1"/>
    </xf>
    <xf numFmtId="177" fontId="97" fillId="0" borderId="0" xfId="0" quotePrefix="1" applyNumberFormat="1" applyFont="1" applyAlignment="1">
      <alignment horizontal="left" vertical="center" wrapText="1"/>
    </xf>
    <xf numFmtId="177" fontId="97" fillId="0" borderId="94" xfId="0" quotePrefix="1" applyNumberFormat="1" applyFont="1" applyBorder="1" applyAlignment="1">
      <alignment horizontal="left" vertical="center" wrapText="1"/>
    </xf>
    <xf numFmtId="177" fontId="97" fillId="0" borderId="112" xfId="0" quotePrefix="1" applyNumberFormat="1" applyFont="1" applyBorder="1" applyAlignment="1">
      <alignment horizontal="left" vertical="center" wrapText="1"/>
    </xf>
    <xf numFmtId="177" fontId="97" fillId="0" borderId="68" xfId="0" quotePrefix="1" applyNumberFormat="1" applyFont="1" applyBorder="1" applyAlignment="1">
      <alignment horizontal="left" vertical="center" wrapText="1"/>
    </xf>
    <xf numFmtId="177" fontId="97" fillId="0" borderId="85" xfId="0" quotePrefix="1" applyNumberFormat="1" applyFont="1" applyBorder="1" applyAlignment="1">
      <alignment horizontal="left" vertical="center" wrapText="1"/>
    </xf>
    <xf numFmtId="177" fontId="97" fillId="0" borderId="110" xfId="0" applyNumberFormat="1" applyFont="1" applyBorder="1" applyAlignment="1">
      <alignment horizontal="left" vertical="center"/>
    </xf>
    <xf numFmtId="177" fontId="97" fillId="0" borderId="0" xfId="0" applyNumberFormat="1" applyFont="1" applyAlignment="1">
      <alignment horizontal="left" vertical="center"/>
    </xf>
    <xf numFmtId="177" fontId="97" fillId="0" borderId="111" xfId="0" applyNumberFormat="1" applyFont="1" applyBorder="1" applyAlignment="1">
      <alignment horizontal="left" vertical="center"/>
    </xf>
    <xf numFmtId="177" fontId="97" fillId="0" borderId="107" xfId="0" applyNumberFormat="1" applyFont="1" applyBorder="1" applyAlignment="1">
      <alignment horizontal="center" vertical="center"/>
    </xf>
    <xf numFmtId="0" fontId="97" fillId="0" borderId="114" xfId="0" applyFont="1" applyBorder="1" applyAlignment="1">
      <alignment horizontal="center" vertical="center"/>
    </xf>
    <xf numFmtId="0" fontId="97" fillId="0" borderId="115" xfId="0" applyFont="1" applyBorder="1" applyAlignment="1">
      <alignment horizontal="center" vertical="center"/>
    </xf>
    <xf numFmtId="0" fontId="97" fillId="0" borderId="155" xfId="0" applyFont="1" applyBorder="1" applyAlignment="1">
      <alignment horizontal="center" vertical="center"/>
    </xf>
    <xf numFmtId="0" fontId="97" fillId="0" borderId="112" xfId="0" applyFont="1" applyBorder="1" applyAlignment="1">
      <alignment horizontal="center" vertical="center"/>
    </xf>
    <xf numFmtId="0" fontId="97" fillId="0" borderId="68" xfId="0" applyFont="1" applyBorder="1" applyAlignment="1">
      <alignment horizontal="center" vertical="center"/>
    </xf>
    <xf numFmtId="0" fontId="97" fillId="0" borderId="85" xfId="0" applyFont="1" applyBorder="1" applyAlignment="1">
      <alignment horizontal="center" vertical="center"/>
    </xf>
    <xf numFmtId="0" fontId="105" fillId="0" borderId="21" xfId="0" applyFont="1" applyBorder="1" applyAlignment="1">
      <alignment horizontal="left" vertical="center"/>
    </xf>
    <xf numFmtId="0" fontId="105" fillId="0" borderId="43" xfId="0" applyFont="1" applyBorder="1" applyAlignment="1">
      <alignment horizontal="left" vertical="center"/>
    </xf>
    <xf numFmtId="9" fontId="9" fillId="8" borderId="5" xfId="0" applyNumberFormat="1" applyFont="1" applyFill="1" applyBorder="1" applyAlignment="1">
      <alignment horizontal="center" vertical="center" wrapText="1"/>
    </xf>
    <xf numFmtId="9" fontId="9" fillId="8" borderId="7" xfId="0" applyNumberFormat="1" applyFont="1" applyFill="1" applyBorder="1" applyAlignment="1">
      <alignment horizontal="center" vertical="center" wrapText="1"/>
    </xf>
    <xf numFmtId="0" fontId="9" fillId="0" borderId="41" xfId="0" applyFont="1" applyBorder="1" applyAlignment="1">
      <alignment horizontal="center" vertical="center" wrapText="1"/>
    </xf>
    <xf numFmtId="0" fontId="9" fillId="0" borderId="32" xfId="0" applyFont="1" applyBorder="1" applyAlignment="1">
      <alignment horizontal="center" vertical="center" wrapText="1"/>
    </xf>
    <xf numFmtId="0" fontId="9" fillId="0" borderId="33" xfId="0" applyFont="1" applyBorder="1" applyAlignment="1">
      <alignment horizontal="center" vertical="center" wrapText="1"/>
    </xf>
    <xf numFmtId="0" fontId="8" fillId="9" borderId="18" xfId="0" applyFont="1" applyFill="1" applyBorder="1" applyAlignment="1">
      <alignment horizontal="center" vertical="center" wrapText="1"/>
    </xf>
    <xf numFmtId="0" fontId="8" fillId="9" borderId="4" xfId="0" applyFont="1" applyFill="1" applyBorder="1" applyAlignment="1">
      <alignment horizontal="center" vertical="center" wrapText="1"/>
    </xf>
    <xf numFmtId="0" fontId="9" fillId="0" borderId="5" xfId="0" applyFont="1" applyBorder="1" applyAlignment="1">
      <alignment vertical="center" wrapText="1"/>
    </xf>
    <xf numFmtId="9" fontId="9" fillId="8" borderId="73" xfId="0" applyNumberFormat="1" applyFont="1" applyFill="1" applyBorder="1" applyAlignment="1">
      <alignment horizontal="center" vertical="center" wrapText="1"/>
    </xf>
    <xf numFmtId="0" fontId="9" fillId="8" borderId="5" xfId="0" applyFont="1" applyFill="1" applyBorder="1" applyAlignment="1">
      <alignment horizontal="center" vertical="center" wrapText="1"/>
    </xf>
    <xf numFmtId="0" fontId="9" fillId="0" borderId="67" xfId="0" applyFont="1" applyBorder="1" applyAlignment="1">
      <alignment horizontal="center" vertical="center" wrapText="1"/>
    </xf>
    <xf numFmtId="0" fontId="9" fillId="0" borderId="42" xfId="0" applyFont="1" applyBorder="1" applyAlignment="1">
      <alignment horizontal="center" vertical="center" wrapText="1"/>
    </xf>
    <xf numFmtId="0" fontId="26" fillId="0" borderId="5" xfId="0" applyFont="1" applyBorder="1" applyAlignment="1">
      <alignment vertical="center" wrapText="1"/>
    </xf>
    <xf numFmtId="0" fontId="8" fillId="9" borderId="6" xfId="0" applyFont="1" applyFill="1" applyBorder="1" applyAlignment="1">
      <alignment horizontal="center" vertical="center" wrapText="1"/>
    </xf>
    <xf numFmtId="0" fontId="28" fillId="2" borderId="0" xfId="0" applyFont="1" applyFill="1" applyAlignment="1">
      <alignment horizontal="left" vertical="center"/>
    </xf>
    <xf numFmtId="0" fontId="33" fillId="11" borderId="21" xfId="0" applyFont="1" applyFill="1" applyBorder="1">
      <alignment vertical="center"/>
    </xf>
    <xf numFmtId="0" fontId="8" fillId="9" borderId="39" xfId="0" applyFont="1" applyFill="1" applyBorder="1" applyAlignment="1">
      <alignment horizontal="center" vertical="center" wrapText="1"/>
    </xf>
    <xf numFmtId="0" fontId="9" fillId="0" borderId="26" xfId="0" applyFont="1" applyBorder="1" applyAlignment="1">
      <alignment vertical="center" wrapText="1"/>
    </xf>
    <xf numFmtId="9" fontId="9" fillId="8" borderId="26" xfId="0" applyNumberFormat="1" applyFont="1" applyFill="1" applyBorder="1" applyAlignment="1">
      <alignment horizontal="center" vertical="center" wrapText="1"/>
    </xf>
    <xf numFmtId="0" fontId="9" fillId="0" borderId="29" xfId="0" applyFont="1" applyBorder="1" applyAlignment="1">
      <alignment horizontal="center" vertical="center" wrapText="1"/>
    </xf>
    <xf numFmtId="0" fontId="7" fillId="0" borderId="96" xfId="1" applyFont="1" applyBorder="1" applyAlignment="1" applyProtection="1">
      <alignment horizontal="center" vertical="center" shrinkToFit="1"/>
      <protection locked="0"/>
    </xf>
    <xf numFmtId="0" fontId="7" fillId="0" borderId="131" xfId="1" applyFont="1" applyBorder="1" applyAlignment="1" applyProtection="1">
      <alignment horizontal="center" vertical="center" shrinkToFit="1"/>
      <protection locked="0"/>
    </xf>
    <xf numFmtId="0" fontId="39" fillId="6" borderId="16" xfId="1" applyFont="1" applyFill="1" applyBorder="1" applyAlignment="1" applyProtection="1">
      <alignment horizontal="center" vertical="center"/>
      <protection locked="0"/>
    </xf>
    <xf numFmtId="0" fontId="39" fillId="6" borderId="88" xfId="1" applyFont="1" applyFill="1" applyBorder="1" applyAlignment="1" applyProtection="1">
      <alignment horizontal="center" vertical="center"/>
      <protection locked="0"/>
    </xf>
    <xf numFmtId="0" fontId="39" fillId="6" borderId="83" xfId="1" applyFont="1" applyFill="1" applyBorder="1" applyAlignment="1" applyProtection="1">
      <alignment horizontal="center" vertical="center"/>
      <protection locked="0"/>
    </xf>
    <xf numFmtId="0" fontId="39" fillId="6" borderId="63" xfId="1" applyFont="1" applyFill="1" applyBorder="1" applyAlignment="1" applyProtection="1">
      <alignment horizontal="center" vertical="center"/>
      <protection locked="0"/>
    </xf>
    <xf numFmtId="0" fontId="7" fillId="6" borderId="74" xfId="1" applyFont="1" applyFill="1" applyBorder="1" applyAlignment="1" applyProtection="1">
      <alignment horizontal="center" vertical="center"/>
      <protection locked="0"/>
    </xf>
    <xf numFmtId="0" fontId="7" fillId="6" borderId="75" xfId="1" applyFont="1" applyFill="1" applyBorder="1" applyAlignment="1" applyProtection="1">
      <alignment horizontal="center" vertical="center"/>
      <protection locked="0"/>
    </xf>
    <xf numFmtId="0" fontId="7" fillId="6" borderId="76" xfId="1" applyFont="1" applyFill="1" applyBorder="1" applyAlignment="1" applyProtection="1">
      <alignment horizontal="center" vertical="center"/>
      <protection locked="0"/>
    </xf>
    <xf numFmtId="0" fontId="7" fillId="6" borderId="34" xfId="1" applyFont="1" applyFill="1" applyBorder="1" applyAlignment="1" applyProtection="1">
      <alignment horizontal="center" vertical="center"/>
      <protection locked="0"/>
    </xf>
    <xf numFmtId="0" fontId="7" fillId="6" borderId="36" xfId="1" applyFont="1" applyFill="1" applyBorder="1" applyAlignment="1" applyProtection="1">
      <alignment horizontal="center" vertical="center"/>
      <protection locked="0"/>
    </xf>
    <xf numFmtId="0" fontId="7" fillId="6" borderId="44" xfId="1" applyFont="1" applyFill="1" applyBorder="1" applyAlignment="1" applyProtection="1">
      <alignment horizontal="center" vertical="center"/>
      <protection locked="0"/>
    </xf>
    <xf numFmtId="0" fontId="7" fillId="6" borderId="81" xfId="1" applyFont="1" applyFill="1" applyBorder="1" applyAlignment="1" applyProtection="1">
      <alignment horizontal="center" vertical="center" shrinkToFit="1"/>
      <protection locked="0"/>
    </xf>
    <xf numFmtId="0" fontId="7" fillId="6" borderId="25" xfId="1" applyFont="1" applyFill="1" applyBorder="1" applyAlignment="1" applyProtection="1">
      <alignment horizontal="center" vertical="center" shrinkToFit="1"/>
      <protection locked="0"/>
    </xf>
    <xf numFmtId="0" fontId="7" fillId="6" borderId="83" xfId="1" applyFont="1" applyFill="1" applyBorder="1" applyAlignment="1" applyProtection="1">
      <alignment horizontal="center" vertical="center" shrinkToFit="1"/>
      <protection locked="0"/>
    </xf>
    <xf numFmtId="0" fontId="7" fillId="6" borderId="63" xfId="1" applyFont="1" applyFill="1" applyBorder="1" applyAlignment="1" applyProtection="1">
      <alignment horizontal="center" vertical="center" shrinkToFit="1"/>
      <protection locked="0"/>
    </xf>
    <xf numFmtId="0" fontId="7" fillId="0" borderId="23" xfId="1" applyFont="1" applyBorder="1" applyAlignment="1" applyProtection="1">
      <alignment horizontal="center" vertical="center"/>
      <protection locked="0"/>
    </xf>
    <xf numFmtId="0" fontId="7" fillId="0" borderId="25" xfId="1" applyFont="1" applyBorder="1" applyAlignment="1" applyProtection="1">
      <alignment horizontal="center" vertical="center"/>
      <protection locked="0"/>
    </xf>
    <xf numFmtId="0" fontId="7" fillId="0" borderId="89" xfId="1" applyFont="1" applyBorder="1" applyAlignment="1" applyProtection="1">
      <alignment horizontal="center" vertical="center"/>
      <protection locked="0"/>
    </xf>
    <xf numFmtId="0" fontId="7" fillId="0" borderId="63" xfId="1" applyFont="1" applyBorder="1" applyAlignment="1" applyProtection="1">
      <alignment horizontal="center" vertical="center"/>
      <protection locked="0"/>
    </xf>
    <xf numFmtId="0" fontId="7" fillId="0" borderId="93" xfId="1" applyFont="1" applyBorder="1" applyAlignment="1" applyProtection="1">
      <alignment horizontal="center" vertical="center"/>
      <protection locked="0"/>
    </xf>
    <xf numFmtId="0" fontId="7" fillId="0" borderId="90" xfId="1" applyFont="1" applyBorder="1" applyAlignment="1" applyProtection="1">
      <alignment horizontal="center" vertical="center"/>
      <protection locked="0"/>
    </xf>
    <xf numFmtId="0" fontId="7" fillId="0" borderId="98" xfId="1" applyFont="1" applyBorder="1" applyAlignment="1" applyProtection="1">
      <alignment horizontal="center" vertical="center" shrinkToFit="1"/>
      <protection locked="0"/>
    </xf>
    <xf numFmtId="0" fontId="7" fillId="6" borderId="124" xfId="1" applyFont="1" applyFill="1" applyBorder="1" applyAlignment="1" applyProtection="1">
      <alignment horizontal="center" vertical="center"/>
      <protection locked="0"/>
    </xf>
    <xf numFmtId="0" fontId="7" fillId="6" borderId="98" xfId="1" applyFont="1" applyFill="1" applyBorder="1" applyAlignment="1" applyProtection="1">
      <alignment horizontal="center" vertical="center"/>
      <protection locked="0"/>
    </xf>
    <xf numFmtId="0" fontId="97" fillId="0" borderId="158" xfId="0" applyFont="1" applyBorder="1" applyAlignment="1">
      <alignment vertical="center"/>
    </xf>
    <xf numFmtId="0" fontId="97" fillId="0" borderId="0" xfId="0" applyFont="1" applyAlignment="1">
      <alignment vertical="center"/>
    </xf>
    <xf numFmtId="0" fontId="110" fillId="0" borderId="158" xfId="0" applyFont="1" applyBorder="1" applyAlignment="1">
      <alignment vertical="center"/>
    </xf>
    <xf numFmtId="177" fontId="97" fillId="0" borderId="114" xfId="0" quotePrefix="1" applyNumberFormat="1" applyFont="1" applyBorder="1" applyAlignment="1">
      <alignment horizontal="center" vertical="center"/>
    </xf>
    <xf numFmtId="177" fontId="97" fillId="0" borderId="115" xfId="0" quotePrefix="1" applyNumberFormat="1" applyFont="1" applyBorder="1" applyAlignment="1">
      <alignment horizontal="center" vertical="center"/>
    </xf>
    <xf numFmtId="177" fontId="97" fillId="0" borderId="155" xfId="0" quotePrefix="1" applyNumberFormat="1" applyFont="1" applyBorder="1" applyAlignment="1">
      <alignment horizontal="center" vertical="center"/>
    </xf>
    <xf numFmtId="177" fontId="97" fillId="0" borderId="112" xfId="0" quotePrefix="1" applyNumberFormat="1" applyFont="1" applyBorder="1" applyAlignment="1">
      <alignment horizontal="center" vertical="center"/>
    </xf>
    <xf numFmtId="177" fontId="97" fillId="0" borderId="68" xfId="0" quotePrefix="1" applyNumberFormat="1" applyFont="1" applyBorder="1" applyAlignment="1">
      <alignment horizontal="center" vertical="center"/>
    </xf>
    <xf numFmtId="177" fontId="97" fillId="0" borderId="85" xfId="0" quotePrefix="1" applyNumberFormat="1" applyFont="1" applyBorder="1" applyAlignment="1">
      <alignment horizontal="center" vertical="center"/>
    </xf>
    <xf numFmtId="177" fontId="97" fillId="0" borderId="114" xfId="0" quotePrefix="1" applyNumberFormat="1" applyFont="1" applyBorder="1" applyAlignment="1">
      <alignment horizontal="center" vertical="center" wrapText="1"/>
    </xf>
    <xf numFmtId="177" fontId="97" fillId="0" borderId="115" xfId="0" quotePrefix="1" applyNumberFormat="1" applyFont="1" applyBorder="1" applyAlignment="1">
      <alignment horizontal="center" vertical="center" wrapText="1"/>
    </xf>
    <xf numFmtId="177" fontId="97" fillId="0" borderId="92" xfId="0" quotePrefix="1" applyNumberFormat="1" applyFont="1" applyBorder="1" applyAlignment="1">
      <alignment horizontal="center" vertical="center" wrapText="1"/>
    </xf>
    <xf numFmtId="177" fontId="97" fillId="0" borderId="110" xfId="0" quotePrefix="1" applyNumberFormat="1" applyFont="1" applyBorder="1" applyAlignment="1">
      <alignment horizontal="center" vertical="center" wrapText="1"/>
    </xf>
    <xf numFmtId="177" fontId="97" fillId="0" borderId="45" xfId="0" quotePrefix="1" applyNumberFormat="1" applyFont="1" applyBorder="1" applyAlignment="1">
      <alignment horizontal="center" vertical="center" wrapText="1"/>
    </xf>
    <xf numFmtId="177" fontId="97" fillId="0" borderId="0" xfId="0" quotePrefix="1" applyNumberFormat="1" applyFont="1" applyBorder="1" applyAlignment="1">
      <alignment horizontal="center" vertical="center" wrapText="1"/>
    </xf>
    <xf numFmtId="177" fontId="97" fillId="0" borderId="118" xfId="0" quotePrefix="1" applyNumberFormat="1" applyFont="1" applyBorder="1" applyAlignment="1">
      <alignment horizontal="center" vertical="center" wrapText="1"/>
    </xf>
    <xf numFmtId="177" fontId="97" fillId="0" borderId="69" xfId="0" quotePrefix="1" applyNumberFormat="1" applyFont="1" applyBorder="1" applyAlignment="1">
      <alignment horizontal="center" vertical="center" wrapText="1"/>
    </xf>
    <xf numFmtId="177" fontId="97" fillId="0" borderId="63" xfId="0" quotePrefix="1" applyNumberFormat="1" applyFont="1" applyBorder="1" applyAlignment="1">
      <alignment horizontal="center" vertical="center" wrapText="1"/>
    </xf>
    <xf numFmtId="177" fontId="97" fillId="0" borderId="159" xfId="0" quotePrefix="1" applyNumberFormat="1" applyFont="1" applyBorder="1" applyAlignment="1">
      <alignment horizontal="center" vertical="center"/>
    </xf>
    <xf numFmtId="177" fontId="97" fillId="0" borderId="24" xfId="0" quotePrefix="1" applyNumberFormat="1" applyFont="1" applyBorder="1" applyAlignment="1">
      <alignment horizontal="center" vertical="center"/>
    </xf>
    <xf numFmtId="177" fontId="97" fillId="0" borderId="93" xfId="0" quotePrefix="1" applyNumberFormat="1" applyFont="1" applyBorder="1" applyAlignment="1">
      <alignment horizontal="center" vertical="center"/>
    </xf>
    <xf numFmtId="177" fontId="97" fillId="0" borderId="0" xfId="0" quotePrefix="1" applyNumberFormat="1" applyFont="1" applyBorder="1" applyAlignment="1">
      <alignment horizontal="center" vertical="center"/>
    </xf>
  </cellXfs>
  <cellStyles count="1024">
    <cellStyle name="??&amp;O?&amp;H?_x0008__x000f__x0007_?_x0007__x0001__x0001_" xfId="8" xr:uid="{00000000-0005-0000-0000-000000000000}"/>
    <cellStyle name="??&amp;O?&amp;H?_x0008_??_x0007__x0001__x0001_" xfId="9" xr:uid="{00000000-0005-0000-0000-000001000000}"/>
    <cellStyle name="?W?_laroux" xfId="10" xr:uid="{00000000-0005-0000-0000-000002000000}"/>
    <cellStyle name="’E‰Y [0.00]_laroux" xfId="11" xr:uid="{00000000-0005-0000-0000-000003000000}"/>
    <cellStyle name="’E‰Y_laroux" xfId="12" xr:uid="{00000000-0005-0000-0000-000004000000}"/>
    <cellStyle name="¤@?e_TEST-1 " xfId="13" xr:uid="{00000000-0005-0000-0000-000005000000}"/>
    <cellStyle name="¹éºÐÀ²_±âÅ¸" xfId="14" xr:uid="{00000000-0005-0000-0000-000006000000}"/>
    <cellStyle name="20% - Accent1" xfId="15" xr:uid="{00000000-0005-0000-0000-000007000000}"/>
    <cellStyle name="20% - Accent2" xfId="16" xr:uid="{00000000-0005-0000-0000-000008000000}"/>
    <cellStyle name="20% - Accent3" xfId="17" xr:uid="{00000000-0005-0000-0000-000009000000}"/>
    <cellStyle name="20% - Accent4" xfId="18" xr:uid="{00000000-0005-0000-0000-00000A000000}"/>
    <cellStyle name="20% - Accent5" xfId="19" xr:uid="{00000000-0005-0000-0000-00000B000000}"/>
    <cellStyle name="20% - Accent6" xfId="20" xr:uid="{00000000-0005-0000-0000-00000C000000}"/>
    <cellStyle name="40% - Accent1" xfId="21" xr:uid="{00000000-0005-0000-0000-00000D000000}"/>
    <cellStyle name="40% - Accent2" xfId="22" xr:uid="{00000000-0005-0000-0000-00000E000000}"/>
    <cellStyle name="40% - Accent3" xfId="23" xr:uid="{00000000-0005-0000-0000-00000F000000}"/>
    <cellStyle name="40% - Accent4" xfId="24" xr:uid="{00000000-0005-0000-0000-000010000000}"/>
    <cellStyle name="40% - Accent5" xfId="25" xr:uid="{00000000-0005-0000-0000-000011000000}"/>
    <cellStyle name="40% - Accent6" xfId="26" xr:uid="{00000000-0005-0000-0000-000012000000}"/>
    <cellStyle name="60% - Accent1" xfId="27" xr:uid="{00000000-0005-0000-0000-000013000000}"/>
    <cellStyle name="60% - Accent2" xfId="28" xr:uid="{00000000-0005-0000-0000-000014000000}"/>
    <cellStyle name="60% - Accent3" xfId="29" xr:uid="{00000000-0005-0000-0000-000015000000}"/>
    <cellStyle name="60% - Accent4" xfId="30" xr:uid="{00000000-0005-0000-0000-000016000000}"/>
    <cellStyle name="60% - Accent5" xfId="31" xr:uid="{00000000-0005-0000-0000-000017000000}"/>
    <cellStyle name="60% - Accent6" xfId="32" xr:uid="{00000000-0005-0000-0000-000018000000}"/>
    <cellStyle name="A¡§¡ⓒ¡E¡þ¡EO [0]_### DA LIST ### (2) " xfId="33" xr:uid="{00000000-0005-0000-0000-000019000000}"/>
    <cellStyle name="A¡§¡ⓒ¡E¡þ¡EO_### DA LIST ### (2) " xfId="34" xr:uid="{00000000-0005-0000-0000-00001A000000}"/>
    <cellStyle name="A¨­￠￢￠O [0]_### DA LIST ### (2) " xfId="35" xr:uid="{00000000-0005-0000-0000-00001B000000}"/>
    <cellStyle name="A¨­￠￢￠O_### DA LIST ### (2) " xfId="36" xr:uid="{00000000-0005-0000-0000-00001C000000}"/>
    <cellStyle name="Accent1" xfId="37" xr:uid="{00000000-0005-0000-0000-00001D000000}"/>
    <cellStyle name="Accent2" xfId="38" xr:uid="{00000000-0005-0000-0000-00001E000000}"/>
    <cellStyle name="Accent3" xfId="39" xr:uid="{00000000-0005-0000-0000-00001F000000}"/>
    <cellStyle name="Accent4" xfId="40" xr:uid="{00000000-0005-0000-0000-000020000000}"/>
    <cellStyle name="Accent5" xfId="41" xr:uid="{00000000-0005-0000-0000-000021000000}"/>
    <cellStyle name="Accent6" xfId="42" xr:uid="{00000000-0005-0000-0000-000022000000}"/>
    <cellStyle name="AeE­ [0]_### DA LIST ### (2) " xfId="43" xr:uid="{00000000-0005-0000-0000-000023000000}"/>
    <cellStyle name="ÅëÈ­ [0]_¸ð´ÏÅÍ¹æ¹ý°³¼±" xfId="44" xr:uid="{00000000-0005-0000-0000-000024000000}"/>
    <cellStyle name="AeE­ [0]_A≫c ¸AAaºÐ¼R " xfId="45" xr:uid="{00000000-0005-0000-0000-000025000000}"/>
    <cellStyle name="ÅëÈ­ [0]_INQUIRY ¿µ¾÷ÃßÁø " xfId="46" xr:uid="{00000000-0005-0000-0000-000026000000}"/>
    <cellStyle name="AeE­ [0]_INQUIRY ¿μ¾÷AßAø " xfId="47" xr:uid="{00000000-0005-0000-0000-000027000000}"/>
    <cellStyle name="ÅëÈ­ [0]_WINDOW(´ç»ç) " xfId="48" xr:uid="{00000000-0005-0000-0000-000028000000}"/>
    <cellStyle name="AeE­ [0]_WINDOW(´c≫c) " xfId="49" xr:uid="{00000000-0005-0000-0000-000029000000}"/>
    <cellStyle name="AeE­_### DA LIST ### (2) " xfId="50" xr:uid="{00000000-0005-0000-0000-00002A000000}"/>
    <cellStyle name="ÅëÈ­_¸ð´ÏÅÍ¹æ¹ý°³¼±" xfId="51" xr:uid="{00000000-0005-0000-0000-00002B000000}"/>
    <cellStyle name="AeE­_A≫c ¸AAaºÐ¼R " xfId="52" xr:uid="{00000000-0005-0000-0000-00002C000000}"/>
    <cellStyle name="ÅëÈ­_INQUIRY ¿µ¾÷ÃßÁø " xfId="53" xr:uid="{00000000-0005-0000-0000-00002D000000}"/>
    <cellStyle name="AeE­_INQUIRY ¿μ¾÷AßAø " xfId="54" xr:uid="{00000000-0005-0000-0000-00002E000000}"/>
    <cellStyle name="ÅëÈ­_WINDOW(´ç»ç) " xfId="55" xr:uid="{00000000-0005-0000-0000-00002F000000}"/>
    <cellStyle name="AeE­_WINDOW(´c≫c) " xfId="56" xr:uid="{00000000-0005-0000-0000-000030000000}"/>
    <cellStyle name="AeE¡ⓒ [0]_### DA LIST ### (2) " xfId="57" xr:uid="{00000000-0005-0000-0000-000031000000}"/>
    <cellStyle name="AeE¡ⓒ_### DA LIST ### (2) " xfId="58" xr:uid="{00000000-0005-0000-0000-000032000000}"/>
    <cellStyle name="AeE￠R¨I [0]_### DA LIST ### (2) " xfId="59" xr:uid="{00000000-0005-0000-0000-000033000000}"/>
    <cellStyle name="AeE￠R¨I_### DA LIST ### (2) " xfId="60" xr:uid="{00000000-0005-0000-0000-000034000000}"/>
    <cellStyle name="ALIGNMENT" xfId="61" xr:uid="{00000000-0005-0000-0000-000035000000}"/>
    <cellStyle name="AÞ¸¶ [0]_### DA LIST ### (2) " xfId="62" xr:uid="{00000000-0005-0000-0000-000036000000}"/>
    <cellStyle name="ÄÞ¸¶ [0]_¸ð´ÏÅÍ¹æ¹ý°³¼±" xfId="63" xr:uid="{00000000-0005-0000-0000-000037000000}"/>
    <cellStyle name="AÞ¸¶ [0]_A≫c ¸AAaºÐ¼R " xfId="64" xr:uid="{00000000-0005-0000-0000-000038000000}"/>
    <cellStyle name="ÄÞ¸¶ [0]_INQUIRY ¿µ¾÷ÃßÁø " xfId="65" xr:uid="{00000000-0005-0000-0000-000039000000}"/>
    <cellStyle name="AÞ¸¶ [0]_INQUIRY ¿μ¾÷AßAø " xfId="66" xr:uid="{00000000-0005-0000-0000-00003A000000}"/>
    <cellStyle name="ÄÞ¸¶ [0]_WINDOW(´ç»ç) " xfId="67" xr:uid="{00000000-0005-0000-0000-00003B000000}"/>
    <cellStyle name="AÞ¸¶ [0]_WINDOW(´c≫c) " xfId="68" xr:uid="{00000000-0005-0000-0000-00003C000000}"/>
    <cellStyle name="AÞ¸¶_### DA LIST ### (2) " xfId="69" xr:uid="{00000000-0005-0000-0000-00003D000000}"/>
    <cellStyle name="ÄÞ¸¶_INQUIRY ¿µ¾÷ÃßÁø " xfId="70" xr:uid="{00000000-0005-0000-0000-00003E000000}"/>
    <cellStyle name="AÞ¸¶_INQUIRY ¿μ¾÷AßAø " xfId="71" xr:uid="{00000000-0005-0000-0000-00003F000000}"/>
    <cellStyle name="ÄÞ¸¶_WINDOW(´ç»ç) " xfId="72" xr:uid="{00000000-0005-0000-0000-000040000000}"/>
    <cellStyle name="AÞ¸¶_WINDOW(´c≫c) " xfId="73" xr:uid="{00000000-0005-0000-0000-000041000000}"/>
    <cellStyle name="_x0001_b" xfId="74" xr:uid="{00000000-0005-0000-0000-000042000000}"/>
    <cellStyle name="Bad" xfId="75" xr:uid="{00000000-0005-0000-0000-000043000000}"/>
    <cellStyle name="C¡IA¨ª_¡ic¨u¡A¨￢I¨￢¡Æ AN¡Æe " xfId="76" xr:uid="{00000000-0005-0000-0000-000044000000}"/>
    <cellStyle name="C￠RIA¡§¨￡_¡§uc¡§oA " xfId="77" xr:uid="{00000000-0005-0000-0000-000045000000}"/>
    <cellStyle name="Ç¥ÁØ_¿µ¾÷ÇöÈ² " xfId="78" xr:uid="{00000000-0005-0000-0000-000046000000}"/>
    <cellStyle name="C￥AØ_¿μ¾÷CoE² " xfId="79" xr:uid="{00000000-0005-0000-0000-000047000000}"/>
    <cellStyle name="Ç¥ÁØ_±¤¾ç2Ãþ " xfId="80" xr:uid="{00000000-0005-0000-0000-000048000000}"/>
    <cellStyle name="C￥AØ_≫c¾÷ºIº° AN°e " xfId="81" xr:uid="{00000000-0005-0000-0000-000049000000}"/>
    <cellStyle name="Ç¥ÁØ_0N-HANDLING " xfId="82" xr:uid="{00000000-0005-0000-0000-00004A000000}"/>
    <cellStyle name="C￥AØ_5-1±¤°i " xfId="83" xr:uid="{00000000-0005-0000-0000-00004B000000}"/>
    <cellStyle name="Ç¥ÁØ_5-1±¤°í " xfId="84" xr:uid="{00000000-0005-0000-0000-00004C000000}"/>
    <cellStyle name="C￥AØ_5-1±¤°i _0109월수" xfId="85" xr:uid="{00000000-0005-0000-0000-00004D000000}"/>
    <cellStyle name="Ç¥ÁØ_5-1±¤°í _0109월수" xfId="86" xr:uid="{00000000-0005-0000-0000-00004E000000}"/>
    <cellStyle name="C￥AØ_5-1±¤°i _0109월수_200208~1" xfId="87" xr:uid="{00000000-0005-0000-0000-00004F000000}"/>
    <cellStyle name="Ç¥ÁØ_5-1±¤°í _0109월수_200208~1" xfId="88" xr:uid="{00000000-0005-0000-0000-000050000000}"/>
    <cellStyle name="C￥AØ_5-1±¤°i _0109월수_200209~1" xfId="89" xr:uid="{00000000-0005-0000-0000-000051000000}"/>
    <cellStyle name="Ç¥ÁØ_5-1±¤°í _0109월수_200209~1" xfId="90" xr:uid="{00000000-0005-0000-0000-000052000000}"/>
    <cellStyle name="C￥AØ_5-1±¤°i _0109월수_2004.10.27 대형취급점 접수변경 및 집하지침 안내 (택업 2004-396)" xfId="91" xr:uid="{00000000-0005-0000-0000-000053000000}"/>
    <cellStyle name="Ç¥ÁØ_5-1±¤°í _0109월수_2004.10.27 대형취급점 접수변경 및 집하지침 안내 (택업 2004-396)" xfId="92" xr:uid="{00000000-0005-0000-0000-000054000000}"/>
    <cellStyle name="C￥AØ_5-1±¤°i _0109월수_2005.05  MBC ESPN 인라인마라톤 품의" xfId="93" xr:uid="{00000000-0005-0000-0000-000055000000}"/>
    <cellStyle name="Ç¥ÁØ_5-1±¤°í _0109월수_2005.05  MBC ESPN 인라인마라톤 품의" xfId="94" xr:uid="{00000000-0005-0000-0000-000056000000}"/>
    <cellStyle name="C￥AØ_5-1±¤°i _0109월수_2005년 01월 개인택배 집하관리 벌과금확정" xfId="95" xr:uid="{00000000-0005-0000-0000-000057000000}"/>
    <cellStyle name="Ç¥ÁØ_5-1±¤°í _0109월수_2005년 01월 개인택배 집하관리 벌과금확정" xfId="96" xr:uid="{00000000-0005-0000-0000-000058000000}"/>
    <cellStyle name="C￥AØ_5-1±¤°i _0109월수_2005년 1.4 분기 개인택배 실적우수점소 포상관련 품의 (050414)" xfId="97" xr:uid="{00000000-0005-0000-0000-000059000000}"/>
    <cellStyle name="Ç¥ÁØ_5-1±¤°í _0109월수_2005년 1.4 분기 개인택배 실적우수점소 포상관련 품의 (050414)" xfId="98" xr:uid="{00000000-0005-0000-0000-00005A000000}"/>
    <cellStyle name="C￥AØ_5-1±¤°i _0109월수_7월선급금" xfId="99" xr:uid="{00000000-0005-0000-0000-00005B000000}"/>
    <cellStyle name="Ç¥ÁØ_5-1±¤°í _0109월수_7월선급금" xfId="100" xr:uid="{00000000-0005-0000-0000-00005C000000}"/>
    <cellStyle name="C￥AØ_5-1±¤°i _0109월수_TEST" xfId="101" xr:uid="{00000000-0005-0000-0000-00005D000000}"/>
    <cellStyle name="Ç¥ÁØ_5-1±¤°í _0109월수_TEST" xfId="102" xr:uid="{00000000-0005-0000-0000-00005E000000}"/>
    <cellStyle name="C￥AØ_5-1±¤°i _0109월수_경비6~1" xfId="103" xr:uid="{00000000-0005-0000-0000-00005F000000}"/>
    <cellStyle name="Ç¥ÁØ_5-1±¤°í _0109월수_경비6~1" xfId="104" xr:uid="{00000000-0005-0000-0000-000060000000}"/>
    <cellStyle name="C￥AØ_5-1±¤°i _0109월수_경비6~1_천안셔틀타임테이블거리(20021015)" xfId="105" xr:uid="{00000000-0005-0000-0000-000061000000}"/>
    <cellStyle name="Ç¥ÁØ_5-1±¤°í _0109월수_경비6~1_천안셔틀타임테이블거리(20021015)" xfId="106" xr:uid="{00000000-0005-0000-0000-000062000000}"/>
    <cellStyle name="C￥AØ_5-1±¤°i _0109월수_경비7~1" xfId="107" xr:uid="{00000000-0005-0000-0000-000063000000}"/>
    <cellStyle name="Ç¥ÁØ_5-1±¤°í _0109월수_경비7~1" xfId="108" xr:uid="{00000000-0005-0000-0000-000064000000}"/>
    <cellStyle name="C￥AØ_5-1±¤°i _0109월수_경비7~1_천안셔틀타임테이블거리(20021015)" xfId="109" xr:uid="{00000000-0005-0000-0000-000065000000}"/>
    <cellStyle name="Ç¥ÁØ_5-1±¤°í _0109월수_경비7~1_천안셔틀타임테이블거리(20021015)" xfId="110" xr:uid="{00000000-0005-0000-0000-000066000000}"/>
    <cellStyle name="C￥AØ_5-1±¤°i _0109월수_운송경비" xfId="111" xr:uid="{00000000-0005-0000-0000-000067000000}"/>
    <cellStyle name="Ç¥ÁØ_5-1±¤°í _0109월수_운송경비" xfId="112" xr:uid="{00000000-0005-0000-0000-000068000000}"/>
    <cellStyle name="C￥AØ_5-1±¤°i _0109월수_천안셔틀타임테이블거리(20021015)" xfId="113" xr:uid="{00000000-0005-0000-0000-000069000000}"/>
    <cellStyle name="Ç¥ÁØ_5-1±¤°í _0109월수_천안셔틀타임테이블거리(20021015)" xfId="114" xr:uid="{00000000-0005-0000-0000-00006A000000}"/>
    <cellStyle name="C￥AØ_5-1±¤°i _0109월수_택마 2004-    취급점 활성화위한 집하관리 결과공지 건" xfId="115" xr:uid="{00000000-0005-0000-0000-00006B000000}"/>
    <cellStyle name="Ç¥ÁØ_5-1±¤°í _0109월수_택마 2004-    취급점 활성화위한 집하관리 결과공지 건" xfId="116" xr:uid="{00000000-0005-0000-0000-00006C000000}"/>
    <cellStyle name="C￥AØ_5-1±¤°i _0109월수_택마 2004-263 개인택배 활성화위한 집하관리 결과공지 건" xfId="117" xr:uid="{00000000-0005-0000-0000-00006D000000}"/>
    <cellStyle name="Ç¥ÁØ_5-1±¤°í _0109월수_택마 2004-263 개인택배 활성화위한 집하관리 결과공지 건" xfId="118" xr:uid="{00000000-0005-0000-0000-00006E000000}"/>
    <cellStyle name="C￥AØ_5-1±¤°i _0109월수_택마 2005-191 추계5대 마라톤대회 유치관련 공문" xfId="119" xr:uid="{00000000-0005-0000-0000-00006F000000}"/>
    <cellStyle name="Ç¥ÁØ_5-1±¤°í _0109월수_택마 2005-191 추계5대 마라톤대회 유치관련 공문" xfId="120" xr:uid="{00000000-0005-0000-0000-000070000000}"/>
    <cellStyle name="C￥AØ_5-1±¤°i _강서" xfId="121" xr:uid="{00000000-0005-0000-0000-000071000000}"/>
    <cellStyle name="Ç¥ÁØ_5-1±¤°í _강서" xfId="122" xr:uid="{00000000-0005-0000-0000-000072000000}"/>
    <cellStyle name="C￥AØ_5-1±¤°i _강서_200208~1" xfId="123" xr:uid="{00000000-0005-0000-0000-000073000000}"/>
    <cellStyle name="Ç¥ÁØ_5-1±¤°í _강서_200208~1" xfId="124" xr:uid="{00000000-0005-0000-0000-000074000000}"/>
    <cellStyle name="C￥AØ_5-1±¤°i _강서_200209~1" xfId="125" xr:uid="{00000000-0005-0000-0000-000075000000}"/>
    <cellStyle name="Ç¥ÁØ_5-1±¤°í _강서_200209~1" xfId="126" xr:uid="{00000000-0005-0000-0000-000076000000}"/>
    <cellStyle name="C￥AØ_5-1±¤°i _강서_2004.10.27 대형취급점 접수변경 및 집하지침 안내 (택업 2004-396)" xfId="127" xr:uid="{00000000-0005-0000-0000-000077000000}"/>
    <cellStyle name="Ç¥ÁØ_5-1±¤°í _강서_2004.10.27 대형취급점 접수변경 및 집하지침 안내 (택업 2004-396)" xfId="128" xr:uid="{00000000-0005-0000-0000-000078000000}"/>
    <cellStyle name="C￥AØ_5-1±¤°i _강서_2005.05  MBC ESPN 인라인마라톤 품의" xfId="129" xr:uid="{00000000-0005-0000-0000-000079000000}"/>
    <cellStyle name="Ç¥ÁØ_5-1±¤°í _강서_2005.05  MBC ESPN 인라인마라톤 품의" xfId="130" xr:uid="{00000000-0005-0000-0000-00007A000000}"/>
    <cellStyle name="C￥AØ_5-1±¤°i _강서_2005년 01월 개인택배 집하관리 벌과금확정" xfId="131" xr:uid="{00000000-0005-0000-0000-00007B000000}"/>
    <cellStyle name="Ç¥ÁØ_5-1±¤°í _강서_2005년 01월 개인택배 집하관리 벌과금확정" xfId="132" xr:uid="{00000000-0005-0000-0000-00007C000000}"/>
    <cellStyle name="C￥AØ_5-1±¤°i _강서_2005년 1.4 분기 개인택배 실적우수점소 포상관련 품의 (050414)" xfId="133" xr:uid="{00000000-0005-0000-0000-00007D000000}"/>
    <cellStyle name="Ç¥ÁØ_5-1±¤°í _강서_2005년 1.4 분기 개인택배 실적우수점소 포상관련 품의 (050414)" xfId="134" xr:uid="{00000000-0005-0000-0000-00007E000000}"/>
    <cellStyle name="C￥AØ_5-1±¤°i _강서_7월선급금" xfId="135" xr:uid="{00000000-0005-0000-0000-00007F000000}"/>
    <cellStyle name="Ç¥ÁØ_5-1±¤°í _강서_7월선급금" xfId="136" xr:uid="{00000000-0005-0000-0000-000080000000}"/>
    <cellStyle name="C￥AØ_5-1±¤°i _강서_TEST" xfId="137" xr:uid="{00000000-0005-0000-0000-000081000000}"/>
    <cellStyle name="Ç¥ÁØ_5-1±¤°í _강서_TEST" xfId="138" xr:uid="{00000000-0005-0000-0000-000082000000}"/>
    <cellStyle name="C￥AØ_5-1±¤°i _강서_경비6~1" xfId="139" xr:uid="{00000000-0005-0000-0000-000083000000}"/>
    <cellStyle name="Ç¥ÁØ_5-1±¤°í _강서_경비6~1" xfId="140" xr:uid="{00000000-0005-0000-0000-000084000000}"/>
    <cellStyle name="C￥AØ_5-1±¤°i _강서_경비6~1_천안셔틀타임테이블거리(20021015)" xfId="141" xr:uid="{00000000-0005-0000-0000-000085000000}"/>
    <cellStyle name="Ç¥ÁØ_5-1±¤°í _강서_경비6~1_천안셔틀타임테이블거리(20021015)" xfId="142" xr:uid="{00000000-0005-0000-0000-000086000000}"/>
    <cellStyle name="C￥AØ_5-1±¤°i _강서_경비7~1" xfId="143" xr:uid="{00000000-0005-0000-0000-000087000000}"/>
    <cellStyle name="Ç¥ÁØ_5-1±¤°í _강서_경비7~1" xfId="144" xr:uid="{00000000-0005-0000-0000-000088000000}"/>
    <cellStyle name="C￥AØ_5-1±¤°i _강서_경비7~1_천안셔틀타임테이블거리(20021015)" xfId="145" xr:uid="{00000000-0005-0000-0000-000089000000}"/>
    <cellStyle name="Ç¥ÁØ_5-1±¤°í _강서_경비7~1_천안셔틀타임테이블거리(20021015)" xfId="146" xr:uid="{00000000-0005-0000-0000-00008A000000}"/>
    <cellStyle name="C￥AØ_5-1±¤°i _강서_운송경비" xfId="147" xr:uid="{00000000-0005-0000-0000-00008B000000}"/>
    <cellStyle name="Ç¥ÁØ_5-1±¤°í _강서_운송경비" xfId="148" xr:uid="{00000000-0005-0000-0000-00008C000000}"/>
    <cellStyle name="C￥AØ_5-1±¤°i _강서_천안셔틀타임테이블거리(20021015)" xfId="149" xr:uid="{00000000-0005-0000-0000-00008D000000}"/>
    <cellStyle name="Ç¥ÁØ_5-1±¤°í _강서_천안셔틀타임테이블거리(20021015)" xfId="150" xr:uid="{00000000-0005-0000-0000-00008E000000}"/>
    <cellStyle name="C￥AØ_5-1±¤°i _강서_택마 2004-    취급점 활성화위한 집하관리 결과공지 건" xfId="151" xr:uid="{00000000-0005-0000-0000-00008F000000}"/>
    <cellStyle name="Ç¥ÁØ_5-1±¤°í _강서_택마 2004-    취급점 활성화위한 집하관리 결과공지 건" xfId="152" xr:uid="{00000000-0005-0000-0000-000090000000}"/>
    <cellStyle name="C￥AØ_5-1±¤°i _강서_택마 2004-263 개인택배 활성화위한 집하관리 결과공지 건" xfId="153" xr:uid="{00000000-0005-0000-0000-000091000000}"/>
    <cellStyle name="Ç¥ÁØ_5-1±¤°í _강서_택마 2004-263 개인택배 활성화위한 집하관리 결과공지 건" xfId="154" xr:uid="{00000000-0005-0000-0000-000092000000}"/>
    <cellStyle name="C￥AØ_5-1±¤°i _강서_택마 2005-191 추계5대 마라톤대회 유치관련 공문" xfId="155" xr:uid="{00000000-0005-0000-0000-000093000000}"/>
    <cellStyle name="Ç¥ÁØ_5-1±¤°í _강서_택마 2005-191 추계5대 마라톤대회 유치관련 공문" xfId="156" xr:uid="{00000000-0005-0000-0000-000094000000}"/>
    <cellStyle name="C￥AØ_5-1±¤°i _수도8월" xfId="157" xr:uid="{00000000-0005-0000-0000-000095000000}"/>
    <cellStyle name="Ç¥ÁØ_5-1±¤°í _수도8월" xfId="158" xr:uid="{00000000-0005-0000-0000-000096000000}"/>
    <cellStyle name="C￥AØ_5-1±¤°i _수도8월_200208~1" xfId="159" xr:uid="{00000000-0005-0000-0000-000097000000}"/>
    <cellStyle name="Ç¥ÁØ_5-1±¤°í _수도8월_200208~1" xfId="160" xr:uid="{00000000-0005-0000-0000-000098000000}"/>
    <cellStyle name="C￥AØ_5-1±¤°i _수도8월_200209~1" xfId="161" xr:uid="{00000000-0005-0000-0000-000099000000}"/>
    <cellStyle name="Ç¥ÁØ_5-1±¤°í _수도8월_200209~1" xfId="162" xr:uid="{00000000-0005-0000-0000-00009A000000}"/>
    <cellStyle name="C￥AØ_5-1±¤°i _수도8월_2004.10.27 대형취급점 접수변경 및 집하지침 안내 (택업 2004-396)" xfId="163" xr:uid="{00000000-0005-0000-0000-00009B000000}"/>
    <cellStyle name="Ç¥ÁØ_5-1±¤°í _수도8월_2004.10.27 대형취급점 접수변경 및 집하지침 안내 (택업 2004-396)" xfId="164" xr:uid="{00000000-0005-0000-0000-00009C000000}"/>
    <cellStyle name="C￥AØ_5-1±¤°i _수도8월_2005.05  MBC ESPN 인라인마라톤 품의" xfId="165" xr:uid="{00000000-0005-0000-0000-00009D000000}"/>
    <cellStyle name="Ç¥ÁØ_5-1±¤°í _수도8월_2005.05  MBC ESPN 인라인마라톤 품의" xfId="166" xr:uid="{00000000-0005-0000-0000-00009E000000}"/>
    <cellStyle name="C￥AØ_5-1±¤°i _수도8월_2005년 01월 개인택배 집하관리 벌과금확정" xfId="167" xr:uid="{00000000-0005-0000-0000-00009F000000}"/>
    <cellStyle name="Ç¥ÁØ_5-1±¤°í _수도8월_2005년 01월 개인택배 집하관리 벌과금확정" xfId="168" xr:uid="{00000000-0005-0000-0000-0000A0000000}"/>
    <cellStyle name="C￥AØ_5-1±¤°i _수도8월_2005년 1.4 분기 개인택배 실적우수점소 포상관련 품의 (050414)" xfId="169" xr:uid="{00000000-0005-0000-0000-0000A1000000}"/>
    <cellStyle name="Ç¥ÁØ_5-1±¤°í _수도8월_2005년 1.4 분기 개인택배 실적우수점소 포상관련 품의 (050414)" xfId="170" xr:uid="{00000000-0005-0000-0000-0000A2000000}"/>
    <cellStyle name="C￥AØ_5-1±¤°i _수도8월_7월선급금" xfId="171" xr:uid="{00000000-0005-0000-0000-0000A3000000}"/>
    <cellStyle name="Ç¥ÁØ_5-1±¤°í _수도8월_7월선급금" xfId="172" xr:uid="{00000000-0005-0000-0000-0000A4000000}"/>
    <cellStyle name="C￥AØ_5-1±¤°i _수도8월_TEST" xfId="173" xr:uid="{00000000-0005-0000-0000-0000A5000000}"/>
    <cellStyle name="Ç¥ÁØ_5-1±¤°í _수도8월_TEST" xfId="174" xr:uid="{00000000-0005-0000-0000-0000A6000000}"/>
    <cellStyle name="C￥AØ_5-1±¤°i _수도8월_경비6~1" xfId="175" xr:uid="{00000000-0005-0000-0000-0000A7000000}"/>
    <cellStyle name="Ç¥ÁØ_5-1±¤°í _수도8월_경비6~1" xfId="176" xr:uid="{00000000-0005-0000-0000-0000A8000000}"/>
    <cellStyle name="C￥AØ_5-1±¤°i _수도8월_경비6~1_천안셔틀타임테이블거리(20021015)" xfId="177" xr:uid="{00000000-0005-0000-0000-0000A9000000}"/>
    <cellStyle name="Ç¥ÁØ_5-1±¤°í _수도8월_경비6~1_천안셔틀타임테이블거리(20021015)" xfId="178" xr:uid="{00000000-0005-0000-0000-0000AA000000}"/>
    <cellStyle name="C￥AØ_5-1±¤°i _수도8월_경비7~1" xfId="179" xr:uid="{00000000-0005-0000-0000-0000AB000000}"/>
    <cellStyle name="Ç¥ÁØ_5-1±¤°í _수도8월_경비7~1" xfId="180" xr:uid="{00000000-0005-0000-0000-0000AC000000}"/>
    <cellStyle name="C￥AØ_5-1±¤°i _수도8월_경비7~1_천안셔틀타임테이블거리(20021015)" xfId="181" xr:uid="{00000000-0005-0000-0000-0000AD000000}"/>
    <cellStyle name="Ç¥ÁØ_5-1±¤°í _수도8월_경비7~1_천안셔틀타임테이블거리(20021015)" xfId="182" xr:uid="{00000000-0005-0000-0000-0000AE000000}"/>
    <cellStyle name="C￥AØ_5-1±¤°i _수도8월_운송경비" xfId="183" xr:uid="{00000000-0005-0000-0000-0000AF000000}"/>
    <cellStyle name="Ç¥ÁØ_5-1±¤°í _수도8월_운송경비" xfId="184" xr:uid="{00000000-0005-0000-0000-0000B0000000}"/>
    <cellStyle name="C￥AØ_5-1±¤°i _수도8월_천안셔틀타임테이블거리(20021015)" xfId="185" xr:uid="{00000000-0005-0000-0000-0000B1000000}"/>
    <cellStyle name="Ç¥ÁØ_5-1±¤°í _수도8월_천안셔틀타임테이블거리(20021015)" xfId="186" xr:uid="{00000000-0005-0000-0000-0000B2000000}"/>
    <cellStyle name="C￥AØ_5-1±¤°i _수도8월_택마 2004-    취급점 활성화위한 집하관리 결과공지 건" xfId="187" xr:uid="{00000000-0005-0000-0000-0000B3000000}"/>
    <cellStyle name="Ç¥ÁØ_5-1±¤°í _수도8월_택마 2004-    취급점 활성화위한 집하관리 결과공지 건" xfId="188" xr:uid="{00000000-0005-0000-0000-0000B4000000}"/>
    <cellStyle name="C￥AØ_5-1±¤°i _수도8월_택마 2004-263 개인택배 활성화위한 집하관리 결과공지 건" xfId="189" xr:uid="{00000000-0005-0000-0000-0000B5000000}"/>
    <cellStyle name="Ç¥ÁØ_5-1±¤°í _수도8월_택마 2004-263 개인택배 활성화위한 집하관리 결과공지 건" xfId="190" xr:uid="{00000000-0005-0000-0000-0000B6000000}"/>
    <cellStyle name="C￥AØ_5-1±¤°i _수도8월_택마 2005-191 추계5대 마라톤대회 유치관련 공문" xfId="191" xr:uid="{00000000-0005-0000-0000-0000B7000000}"/>
    <cellStyle name="Ç¥ÁØ_5-1±¤°í _수도8월_택마 2005-191 추계5대 마라톤대회 유치관련 공문" xfId="192" xr:uid="{00000000-0005-0000-0000-0000B8000000}"/>
    <cellStyle name="C￥AØ_5-1±¤°i _수도보~3" xfId="193" xr:uid="{00000000-0005-0000-0000-0000B9000000}"/>
    <cellStyle name="Ç¥ÁØ_5-1±¤°í _수도보~3" xfId="194" xr:uid="{00000000-0005-0000-0000-0000BA000000}"/>
    <cellStyle name="C￥AØ_5-1±¤°i _수도보~3_200208~1" xfId="195" xr:uid="{00000000-0005-0000-0000-0000BB000000}"/>
    <cellStyle name="Ç¥ÁØ_5-1±¤°í _수도보~3_200208~1" xfId="196" xr:uid="{00000000-0005-0000-0000-0000BC000000}"/>
    <cellStyle name="C￥AØ_5-1±¤°i _수도보~3_200209~1" xfId="197" xr:uid="{00000000-0005-0000-0000-0000BD000000}"/>
    <cellStyle name="Ç¥ÁØ_5-1±¤°í _수도보~3_200209~1" xfId="198" xr:uid="{00000000-0005-0000-0000-0000BE000000}"/>
    <cellStyle name="C￥AØ_5-1±¤°i _수도보~3_2004.10.27 대형취급점 접수변경 및 집하지침 안내 (택업 2004-396)" xfId="199" xr:uid="{00000000-0005-0000-0000-0000BF000000}"/>
    <cellStyle name="Ç¥ÁØ_5-1±¤°í _수도보~3_2004.10.27 대형취급점 접수변경 및 집하지침 안내 (택업 2004-396)" xfId="200" xr:uid="{00000000-0005-0000-0000-0000C0000000}"/>
    <cellStyle name="C￥AØ_5-1±¤°i _수도보~3_2005.05  MBC ESPN 인라인마라톤 품의" xfId="201" xr:uid="{00000000-0005-0000-0000-0000C1000000}"/>
    <cellStyle name="Ç¥ÁØ_5-1±¤°í _수도보~3_2005.05  MBC ESPN 인라인마라톤 품의" xfId="202" xr:uid="{00000000-0005-0000-0000-0000C2000000}"/>
    <cellStyle name="C￥AØ_5-1±¤°i _수도보~3_2005년 01월 개인택배 집하관리 벌과금확정" xfId="203" xr:uid="{00000000-0005-0000-0000-0000C3000000}"/>
    <cellStyle name="Ç¥ÁØ_5-1±¤°í _수도보~3_2005년 01월 개인택배 집하관리 벌과금확정" xfId="204" xr:uid="{00000000-0005-0000-0000-0000C4000000}"/>
    <cellStyle name="C￥AØ_5-1±¤°i _수도보~3_2005년 1.4 분기 개인택배 실적우수점소 포상관련 품의 (050414)" xfId="205" xr:uid="{00000000-0005-0000-0000-0000C5000000}"/>
    <cellStyle name="Ç¥ÁØ_5-1±¤°í _수도보~3_2005년 1.4 분기 개인택배 실적우수점소 포상관련 품의 (050414)" xfId="206" xr:uid="{00000000-0005-0000-0000-0000C6000000}"/>
    <cellStyle name="C￥AØ_5-1±¤°i _수도보~3_7월선급금" xfId="207" xr:uid="{00000000-0005-0000-0000-0000C7000000}"/>
    <cellStyle name="Ç¥ÁØ_5-1±¤°í _수도보~3_7월선급금" xfId="208" xr:uid="{00000000-0005-0000-0000-0000C8000000}"/>
    <cellStyle name="C￥AØ_5-1±¤°i _수도보~3_TEST" xfId="209" xr:uid="{00000000-0005-0000-0000-0000C9000000}"/>
    <cellStyle name="Ç¥ÁØ_5-1±¤°í _수도보~3_TEST" xfId="210" xr:uid="{00000000-0005-0000-0000-0000CA000000}"/>
    <cellStyle name="C￥AØ_5-1±¤°i _수도보~3_경비6~1" xfId="211" xr:uid="{00000000-0005-0000-0000-0000CB000000}"/>
    <cellStyle name="Ç¥ÁØ_5-1±¤°í _수도보~3_경비6~1" xfId="212" xr:uid="{00000000-0005-0000-0000-0000CC000000}"/>
    <cellStyle name="C￥AØ_5-1±¤°i _수도보~3_경비6~1_천안셔틀타임테이블거리(20021015)" xfId="213" xr:uid="{00000000-0005-0000-0000-0000CD000000}"/>
    <cellStyle name="Ç¥ÁØ_5-1±¤°í _수도보~3_경비6~1_천안셔틀타임테이블거리(20021015)" xfId="214" xr:uid="{00000000-0005-0000-0000-0000CE000000}"/>
    <cellStyle name="C￥AØ_5-1±¤°i _수도보~3_경비7~1" xfId="215" xr:uid="{00000000-0005-0000-0000-0000CF000000}"/>
    <cellStyle name="Ç¥ÁØ_5-1±¤°í _수도보~3_경비7~1" xfId="216" xr:uid="{00000000-0005-0000-0000-0000D0000000}"/>
    <cellStyle name="C￥AØ_5-1±¤°i _수도보~3_경비7~1_천안셔틀타임테이블거리(20021015)" xfId="217" xr:uid="{00000000-0005-0000-0000-0000D1000000}"/>
    <cellStyle name="Ç¥ÁØ_5-1±¤°í _수도보~3_경비7~1_천안셔틀타임테이블거리(20021015)" xfId="218" xr:uid="{00000000-0005-0000-0000-0000D2000000}"/>
    <cellStyle name="C￥AØ_5-1±¤°i _수도보~3_운송경비" xfId="219" xr:uid="{00000000-0005-0000-0000-0000D3000000}"/>
    <cellStyle name="Ç¥ÁØ_5-1±¤°í _수도보~3_운송경비" xfId="220" xr:uid="{00000000-0005-0000-0000-0000D4000000}"/>
    <cellStyle name="C￥AØ_5-1±¤°i _수도보~3_천안셔틀타임테이블거리(20021015)" xfId="221" xr:uid="{00000000-0005-0000-0000-0000D5000000}"/>
    <cellStyle name="Ç¥ÁØ_5-1±¤°í _수도보~3_천안셔틀타임테이블거리(20021015)" xfId="222" xr:uid="{00000000-0005-0000-0000-0000D6000000}"/>
    <cellStyle name="C￥AØ_5-1±¤°i _수도보~3_택마 2004-    취급점 활성화위한 집하관리 결과공지 건" xfId="223" xr:uid="{00000000-0005-0000-0000-0000D7000000}"/>
    <cellStyle name="Ç¥ÁØ_5-1±¤°í _수도보~3_택마 2004-    취급점 활성화위한 집하관리 결과공지 건" xfId="224" xr:uid="{00000000-0005-0000-0000-0000D8000000}"/>
    <cellStyle name="C￥AØ_5-1±¤°i _수도보~3_택마 2004-263 개인택배 활성화위한 집하관리 결과공지 건" xfId="225" xr:uid="{00000000-0005-0000-0000-0000D9000000}"/>
    <cellStyle name="Ç¥ÁØ_5-1±¤°í _수도보~3_택마 2004-263 개인택배 활성화위한 집하관리 결과공지 건" xfId="226" xr:uid="{00000000-0005-0000-0000-0000DA000000}"/>
    <cellStyle name="C￥AØ_5-1±¤°i _수도보~3_택마 2005-191 추계5대 마라톤대회 유치관련 공문" xfId="227" xr:uid="{00000000-0005-0000-0000-0000DB000000}"/>
    <cellStyle name="Ç¥ÁØ_5-1±¤°í _수도보~3_택마 2005-191 추계5대 마라톤대회 유치관련 공문" xfId="228" xr:uid="{00000000-0005-0000-0000-0000DC000000}"/>
    <cellStyle name="C￥AØ_5-1±¤°i _수도보~4" xfId="229" xr:uid="{00000000-0005-0000-0000-0000DD000000}"/>
    <cellStyle name="Ç¥ÁØ_5-1±¤°í _수도보~4" xfId="230" xr:uid="{00000000-0005-0000-0000-0000DE000000}"/>
    <cellStyle name="C￥AØ_5-1±¤°i _수도보~4_200208~1" xfId="231" xr:uid="{00000000-0005-0000-0000-0000DF000000}"/>
    <cellStyle name="Ç¥ÁØ_5-1±¤°í _수도보~4_200208~1" xfId="232" xr:uid="{00000000-0005-0000-0000-0000E0000000}"/>
    <cellStyle name="C￥AØ_5-1±¤°i _수도보~4_200209~1" xfId="233" xr:uid="{00000000-0005-0000-0000-0000E1000000}"/>
    <cellStyle name="Ç¥ÁØ_5-1±¤°í _수도보~4_200209~1" xfId="234" xr:uid="{00000000-0005-0000-0000-0000E2000000}"/>
    <cellStyle name="C￥AØ_5-1±¤°i _수도보~4_2004.10.27 대형취급점 접수변경 및 집하지침 안내 (택업 2004-396)" xfId="235" xr:uid="{00000000-0005-0000-0000-0000E3000000}"/>
    <cellStyle name="Ç¥ÁØ_5-1±¤°í _수도보~4_2004.10.27 대형취급점 접수변경 및 집하지침 안내 (택업 2004-396)" xfId="236" xr:uid="{00000000-0005-0000-0000-0000E4000000}"/>
    <cellStyle name="C￥AØ_5-1±¤°i _수도보~4_2005.05  MBC ESPN 인라인마라톤 품의" xfId="237" xr:uid="{00000000-0005-0000-0000-0000E5000000}"/>
    <cellStyle name="Ç¥ÁØ_5-1±¤°í _수도보~4_2005.05  MBC ESPN 인라인마라톤 품의" xfId="238" xr:uid="{00000000-0005-0000-0000-0000E6000000}"/>
    <cellStyle name="C￥AØ_5-1±¤°i _수도보~4_2005년 01월 개인택배 집하관리 벌과금확정" xfId="239" xr:uid="{00000000-0005-0000-0000-0000E7000000}"/>
    <cellStyle name="Ç¥ÁØ_5-1±¤°í _수도보~4_2005년 01월 개인택배 집하관리 벌과금확정" xfId="240" xr:uid="{00000000-0005-0000-0000-0000E8000000}"/>
    <cellStyle name="C￥AØ_5-1±¤°i _수도보~4_2005년 1.4 분기 개인택배 실적우수점소 포상관련 품의 (050414)" xfId="241" xr:uid="{00000000-0005-0000-0000-0000E9000000}"/>
    <cellStyle name="Ç¥ÁØ_5-1±¤°í _수도보~4_2005년 1.4 분기 개인택배 실적우수점소 포상관련 품의 (050414)" xfId="242" xr:uid="{00000000-0005-0000-0000-0000EA000000}"/>
    <cellStyle name="C￥AØ_5-1±¤°i _수도보~4_7월선급금" xfId="243" xr:uid="{00000000-0005-0000-0000-0000EB000000}"/>
    <cellStyle name="Ç¥ÁØ_5-1±¤°í _수도보~4_7월선급금" xfId="244" xr:uid="{00000000-0005-0000-0000-0000EC000000}"/>
    <cellStyle name="C￥AØ_5-1±¤°i _수도보~4_TEST" xfId="245" xr:uid="{00000000-0005-0000-0000-0000ED000000}"/>
    <cellStyle name="Ç¥ÁØ_5-1±¤°í _수도보~4_TEST" xfId="246" xr:uid="{00000000-0005-0000-0000-0000EE000000}"/>
    <cellStyle name="C￥AØ_5-1±¤°i _수도보~4_경비6~1" xfId="247" xr:uid="{00000000-0005-0000-0000-0000EF000000}"/>
    <cellStyle name="Ç¥ÁØ_5-1±¤°í _수도보~4_경비6~1" xfId="248" xr:uid="{00000000-0005-0000-0000-0000F0000000}"/>
    <cellStyle name="C￥AØ_5-1±¤°i _수도보~4_경비6~1_천안셔틀타임테이블거리(20021015)" xfId="249" xr:uid="{00000000-0005-0000-0000-0000F1000000}"/>
    <cellStyle name="Ç¥ÁØ_5-1±¤°í _수도보~4_경비6~1_천안셔틀타임테이블거리(20021015)" xfId="250" xr:uid="{00000000-0005-0000-0000-0000F2000000}"/>
    <cellStyle name="C￥AØ_5-1±¤°i _수도보~4_경비7~1" xfId="251" xr:uid="{00000000-0005-0000-0000-0000F3000000}"/>
    <cellStyle name="Ç¥ÁØ_5-1±¤°í _수도보~4_경비7~1" xfId="252" xr:uid="{00000000-0005-0000-0000-0000F4000000}"/>
    <cellStyle name="C￥AØ_5-1±¤°i _수도보~4_경비7~1_천안셔틀타임테이블거리(20021015)" xfId="253" xr:uid="{00000000-0005-0000-0000-0000F5000000}"/>
    <cellStyle name="Ç¥ÁØ_5-1±¤°í _수도보~4_경비7~1_천안셔틀타임테이블거리(20021015)" xfId="254" xr:uid="{00000000-0005-0000-0000-0000F6000000}"/>
    <cellStyle name="C￥AØ_5-1±¤°i _수도보~4_운송경비" xfId="255" xr:uid="{00000000-0005-0000-0000-0000F7000000}"/>
    <cellStyle name="Ç¥ÁØ_5-1±¤°í _수도보~4_운송경비" xfId="256" xr:uid="{00000000-0005-0000-0000-0000F8000000}"/>
    <cellStyle name="C￥AØ_5-1±¤°i _수도보~4_천안셔틀타임테이블거리(20021015)" xfId="257" xr:uid="{00000000-0005-0000-0000-0000F9000000}"/>
    <cellStyle name="Ç¥ÁØ_5-1±¤°í _수도보~4_천안셔틀타임테이블거리(20021015)" xfId="258" xr:uid="{00000000-0005-0000-0000-0000FA000000}"/>
    <cellStyle name="C￥AØ_5-1±¤°i _수도보~4_택마 2004-    취급점 활성화위한 집하관리 결과공지 건" xfId="259" xr:uid="{00000000-0005-0000-0000-0000FB000000}"/>
    <cellStyle name="Ç¥ÁØ_5-1±¤°í _수도보~4_택마 2004-    취급점 활성화위한 집하관리 결과공지 건" xfId="260" xr:uid="{00000000-0005-0000-0000-0000FC000000}"/>
    <cellStyle name="C￥AØ_5-1±¤°i _수도보~4_택마 2004-263 개인택배 활성화위한 집하관리 결과공지 건" xfId="261" xr:uid="{00000000-0005-0000-0000-0000FD000000}"/>
    <cellStyle name="Ç¥ÁØ_5-1±¤°í _수도보~4_택마 2004-263 개인택배 활성화위한 집하관리 결과공지 건" xfId="262" xr:uid="{00000000-0005-0000-0000-0000FE000000}"/>
    <cellStyle name="C￥AØ_5-1±¤°i _수도보~4_택마 2005-191 추계5대 마라톤대회 유치관련 공문" xfId="263" xr:uid="{00000000-0005-0000-0000-0000FF000000}"/>
    <cellStyle name="Ç¥ÁØ_5-1±¤°í _수도보~4_택마 2005-191 추계5대 마라톤대회 유치관련 공문" xfId="264" xr:uid="{00000000-0005-0000-0000-000000010000}"/>
    <cellStyle name="C￥AØ_5-1±¤°i _수도보~6" xfId="265" xr:uid="{00000000-0005-0000-0000-000001010000}"/>
    <cellStyle name="Ç¥ÁØ_5-1±¤°í _수도보~6" xfId="266" xr:uid="{00000000-0005-0000-0000-000002010000}"/>
    <cellStyle name="C￥AØ_5-1±¤°i _수도보~6_200208~1" xfId="267" xr:uid="{00000000-0005-0000-0000-000003010000}"/>
    <cellStyle name="Ç¥ÁØ_5-1±¤°í _수도보~6_200208~1" xfId="268" xr:uid="{00000000-0005-0000-0000-000004010000}"/>
    <cellStyle name="C￥AØ_5-1±¤°i _수도보~6_200209~1" xfId="269" xr:uid="{00000000-0005-0000-0000-000005010000}"/>
    <cellStyle name="Ç¥ÁØ_5-1±¤°í _수도보~6_200209~1" xfId="270" xr:uid="{00000000-0005-0000-0000-000006010000}"/>
    <cellStyle name="C￥AØ_5-1±¤°i _수도보~6_2004.10.27 대형취급점 접수변경 및 집하지침 안내 (택업 2004-396)" xfId="271" xr:uid="{00000000-0005-0000-0000-000007010000}"/>
    <cellStyle name="Ç¥ÁØ_5-1±¤°í _수도보~6_2004.10.27 대형취급점 접수변경 및 집하지침 안내 (택업 2004-396)" xfId="272" xr:uid="{00000000-0005-0000-0000-000008010000}"/>
    <cellStyle name="C￥AØ_5-1±¤°i _수도보~6_2005.05  MBC ESPN 인라인마라톤 품의" xfId="273" xr:uid="{00000000-0005-0000-0000-000009010000}"/>
    <cellStyle name="Ç¥ÁØ_5-1±¤°í _수도보~6_2005.05  MBC ESPN 인라인마라톤 품의" xfId="274" xr:uid="{00000000-0005-0000-0000-00000A010000}"/>
    <cellStyle name="C￥AØ_5-1±¤°i _수도보~6_2005년 01월 개인택배 집하관리 벌과금확정" xfId="275" xr:uid="{00000000-0005-0000-0000-00000B010000}"/>
    <cellStyle name="Ç¥ÁØ_5-1±¤°í _수도보~6_2005년 01월 개인택배 집하관리 벌과금확정" xfId="276" xr:uid="{00000000-0005-0000-0000-00000C010000}"/>
    <cellStyle name="C￥AØ_5-1±¤°i _수도보~6_2005년 1.4 분기 개인택배 실적우수점소 포상관련 품의 (050414)" xfId="277" xr:uid="{00000000-0005-0000-0000-00000D010000}"/>
    <cellStyle name="Ç¥ÁØ_5-1±¤°í _수도보~6_2005년 1.4 분기 개인택배 실적우수점소 포상관련 품의 (050414)" xfId="278" xr:uid="{00000000-0005-0000-0000-00000E010000}"/>
    <cellStyle name="C￥AØ_5-1±¤°i _수도보~6_7월선급금" xfId="279" xr:uid="{00000000-0005-0000-0000-00000F010000}"/>
    <cellStyle name="Ç¥ÁØ_5-1±¤°í _수도보~6_7월선급금" xfId="280" xr:uid="{00000000-0005-0000-0000-000010010000}"/>
    <cellStyle name="C￥AØ_5-1±¤°i _수도보~6_TEST" xfId="281" xr:uid="{00000000-0005-0000-0000-000011010000}"/>
    <cellStyle name="Ç¥ÁØ_5-1±¤°í _수도보~6_TEST" xfId="282" xr:uid="{00000000-0005-0000-0000-000012010000}"/>
    <cellStyle name="C￥AØ_5-1±¤°i _수도보~6_경비6~1" xfId="283" xr:uid="{00000000-0005-0000-0000-000013010000}"/>
    <cellStyle name="Ç¥ÁØ_5-1±¤°í _수도보~6_경비6~1" xfId="284" xr:uid="{00000000-0005-0000-0000-000014010000}"/>
    <cellStyle name="C￥AØ_5-1±¤°i _수도보~6_경비6~1_천안셔틀타임테이블거리(20021015)" xfId="285" xr:uid="{00000000-0005-0000-0000-000015010000}"/>
    <cellStyle name="Ç¥ÁØ_5-1±¤°í _수도보~6_경비6~1_천안셔틀타임테이블거리(20021015)" xfId="286" xr:uid="{00000000-0005-0000-0000-000016010000}"/>
    <cellStyle name="C￥AØ_5-1±¤°i _수도보~6_경비7~1" xfId="287" xr:uid="{00000000-0005-0000-0000-000017010000}"/>
    <cellStyle name="Ç¥ÁØ_5-1±¤°í _수도보~6_경비7~1" xfId="288" xr:uid="{00000000-0005-0000-0000-000018010000}"/>
    <cellStyle name="C￥AØ_5-1±¤°i _수도보~6_경비7~1_천안셔틀타임테이블거리(20021015)" xfId="289" xr:uid="{00000000-0005-0000-0000-000019010000}"/>
    <cellStyle name="Ç¥ÁØ_5-1±¤°í _수도보~6_경비7~1_천안셔틀타임테이블거리(20021015)" xfId="290" xr:uid="{00000000-0005-0000-0000-00001A010000}"/>
    <cellStyle name="C￥AØ_5-1±¤°i _수도보~6_운송경비" xfId="291" xr:uid="{00000000-0005-0000-0000-00001B010000}"/>
    <cellStyle name="Ç¥ÁØ_5-1±¤°í _수도보~6_운송경비" xfId="292" xr:uid="{00000000-0005-0000-0000-00001C010000}"/>
    <cellStyle name="C￥AØ_5-1±¤°i _수도보~6_천안셔틀타임테이블거리(20021015)" xfId="293" xr:uid="{00000000-0005-0000-0000-00001D010000}"/>
    <cellStyle name="Ç¥ÁØ_5-1±¤°í _수도보~6_천안셔틀타임테이블거리(20021015)" xfId="294" xr:uid="{00000000-0005-0000-0000-00001E010000}"/>
    <cellStyle name="C￥AØ_5-1±¤°i _수도보~6_택마 2004-    취급점 활성화위한 집하관리 결과공지 건" xfId="295" xr:uid="{00000000-0005-0000-0000-00001F010000}"/>
    <cellStyle name="Ç¥ÁØ_5-1±¤°í _수도보~6_택마 2004-    취급점 활성화위한 집하관리 결과공지 건" xfId="296" xr:uid="{00000000-0005-0000-0000-000020010000}"/>
    <cellStyle name="C￥AØ_5-1±¤°i _수도보~6_택마 2004-263 개인택배 활성화위한 집하관리 결과공지 건" xfId="297" xr:uid="{00000000-0005-0000-0000-000021010000}"/>
    <cellStyle name="Ç¥ÁØ_5-1±¤°í _수도보~6_택마 2004-263 개인택배 활성화위한 집하관리 결과공지 건" xfId="298" xr:uid="{00000000-0005-0000-0000-000022010000}"/>
    <cellStyle name="C￥AØ_5-1±¤°i _수도보~6_택마 2005-191 추계5대 마라톤대회 유치관련 공문" xfId="299" xr:uid="{00000000-0005-0000-0000-000023010000}"/>
    <cellStyle name="Ç¥ÁØ_5-1±¤°í _수도보~6_택마 2005-191 추계5대 마라톤대회 유치관련 공문" xfId="300" xr:uid="{00000000-0005-0000-0000-000024010000}"/>
    <cellStyle name="C￥AØ_5-1±¤°i _월간~10" xfId="301" xr:uid="{00000000-0005-0000-0000-000025010000}"/>
    <cellStyle name="Ç¥ÁØ_5-1±¤°í _월간~10" xfId="302" xr:uid="{00000000-0005-0000-0000-000026010000}"/>
    <cellStyle name="C￥AØ_5-1±¤°i _월간~10_200208~1" xfId="303" xr:uid="{00000000-0005-0000-0000-000027010000}"/>
    <cellStyle name="Ç¥ÁØ_5-1±¤°í _월간~10_200208~1" xfId="304" xr:uid="{00000000-0005-0000-0000-000028010000}"/>
    <cellStyle name="C￥AØ_5-1±¤°i _월간~10_200209~1" xfId="305" xr:uid="{00000000-0005-0000-0000-000029010000}"/>
    <cellStyle name="Ç¥ÁØ_5-1±¤°í _월간~10_200209~1" xfId="306" xr:uid="{00000000-0005-0000-0000-00002A010000}"/>
    <cellStyle name="C￥AØ_5-1±¤°i _월간~10_2004.10.27 대형취급점 접수변경 및 집하지침 안내 (택업 2004-396)" xfId="307" xr:uid="{00000000-0005-0000-0000-00002B010000}"/>
    <cellStyle name="Ç¥ÁØ_5-1±¤°í _월간~10_2004.10.27 대형취급점 접수변경 및 집하지침 안내 (택업 2004-396)" xfId="308" xr:uid="{00000000-0005-0000-0000-00002C010000}"/>
    <cellStyle name="C￥AØ_5-1±¤°i _월간~10_2005.05  MBC ESPN 인라인마라톤 품의" xfId="309" xr:uid="{00000000-0005-0000-0000-00002D010000}"/>
    <cellStyle name="Ç¥ÁØ_5-1±¤°í _월간~10_2005.05  MBC ESPN 인라인마라톤 품의" xfId="310" xr:uid="{00000000-0005-0000-0000-00002E010000}"/>
    <cellStyle name="C￥AØ_5-1±¤°i _월간~10_2005년 01월 개인택배 집하관리 벌과금확정" xfId="311" xr:uid="{00000000-0005-0000-0000-00002F010000}"/>
    <cellStyle name="Ç¥ÁØ_5-1±¤°í _월간~10_2005년 01월 개인택배 집하관리 벌과금확정" xfId="312" xr:uid="{00000000-0005-0000-0000-000030010000}"/>
    <cellStyle name="C￥AØ_5-1±¤°i _월간~10_2005년 1.4 분기 개인택배 실적우수점소 포상관련 품의 (050414)" xfId="313" xr:uid="{00000000-0005-0000-0000-000031010000}"/>
    <cellStyle name="Ç¥ÁØ_5-1±¤°í _월간~10_2005년 1.4 분기 개인택배 실적우수점소 포상관련 품의 (050414)" xfId="314" xr:uid="{00000000-0005-0000-0000-000032010000}"/>
    <cellStyle name="C￥AØ_5-1±¤°i _월간~10_7월선급금" xfId="315" xr:uid="{00000000-0005-0000-0000-000033010000}"/>
    <cellStyle name="Ç¥ÁØ_5-1±¤°í _월간~10_7월선급금" xfId="316" xr:uid="{00000000-0005-0000-0000-000034010000}"/>
    <cellStyle name="C￥AØ_5-1±¤°i _월간~10_TEST" xfId="317" xr:uid="{00000000-0005-0000-0000-000035010000}"/>
    <cellStyle name="Ç¥ÁØ_5-1±¤°í _월간~10_TEST" xfId="318" xr:uid="{00000000-0005-0000-0000-000036010000}"/>
    <cellStyle name="C￥AØ_5-1±¤°i _월간~10_경비6~1" xfId="319" xr:uid="{00000000-0005-0000-0000-000037010000}"/>
    <cellStyle name="Ç¥ÁØ_5-1±¤°í _월간~10_경비6~1" xfId="320" xr:uid="{00000000-0005-0000-0000-000038010000}"/>
    <cellStyle name="C￥AØ_5-1±¤°i _월간~10_경비6~1_천안셔틀타임테이블거리(20021015)" xfId="321" xr:uid="{00000000-0005-0000-0000-000039010000}"/>
    <cellStyle name="Ç¥ÁØ_5-1±¤°í _월간~10_경비6~1_천안셔틀타임테이블거리(20021015)" xfId="322" xr:uid="{00000000-0005-0000-0000-00003A010000}"/>
    <cellStyle name="C￥AØ_5-1±¤°i _월간~10_경비7~1" xfId="323" xr:uid="{00000000-0005-0000-0000-00003B010000}"/>
    <cellStyle name="Ç¥ÁØ_5-1±¤°í _월간~10_경비7~1" xfId="324" xr:uid="{00000000-0005-0000-0000-00003C010000}"/>
    <cellStyle name="C￥AØ_5-1±¤°i _월간~10_경비7~1_천안셔틀타임테이블거리(20021015)" xfId="325" xr:uid="{00000000-0005-0000-0000-00003D010000}"/>
    <cellStyle name="Ç¥ÁØ_5-1±¤°í _월간~10_경비7~1_천안셔틀타임테이블거리(20021015)" xfId="326" xr:uid="{00000000-0005-0000-0000-00003E010000}"/>
    <cellStyle name="C￥AØ_5-1±¤°i _월간~10_운송경비" xfId="327" xr:uid="{00000000-0005-0000-0000-00003F010000}"/>
    <cellStyle name="Ç¥ÁØ_5-1±¤°í _월간~10_운송경비" xfId="328" xr:uid="{00000000-0005-0000-0000-000040010000}"/>
    <cellStyle name="C￥AØ_5-1±¤°i _월간~10_천안셔틀타임테이블거리(20021015)" xfId="329" xr:uid="{00000000-0005-0000-0000-000041010000}"/>
    <cellStyle name="Ç¥ÁØ_5-1±¤°í _월간~10_천안셔틀타임테이블거리(20021015)" xfId="330" xr:uid="{00000000-0005-0000-0000-000042010000}"/>
    <cellStyle name="C￥AØ_5-1±¤°i _월간~10_택마 2004-    취급점 활성화위한 집하관리 결과공지 건" xfId="331" xr:uid="{00000000-0005-0000-0000-000043010000}"/>
    <cellStyle name="Ç¥ÁØ_5-1±¤°í _월간~10_택마 2004-    취급점 활성화위한 집하관리 결과공지 건" xfId="332" xr:uid="{00000000-0005-0000-0000-000044010000}"/>
    <cellStyle name="C￥AØ_5-1±¤°i _월간~10_택마 2004-263 개인택배 활성화위한 집하관리 결과공지 건" xfId="333" xr:uid="{00000000-0005-0000-0000-000045010000}"/>
    <cellStyle name="Ç¥ÁØ_5-1±¤°í _월간~10_택마 2004-263 개인택배 활성화위한 집하관리 결과공지 건" xfId="334" xr:uid="{00000000-0005-0000-0000-000046010000}"/>
    <cellStyle name="C￥AØ_5-1±¤°i _월간~10_택마 2005-191 추계5대 마라톤대회 유치관련 공문" xfId="335" xr:uid="{00000000-0005-0000-0000-000047010000}"/>
    <cellStyle name="Ç¥ÁØ_5-1±¤°í _월간~10_택마 2005-191 추계5대 마라톤대회 유치관련 공문" xfId="336" xr:uid="{00000000-0005-0000-0000-000048010000}"/>
    <cellStyle name="C￥AØ_5-1±¤°i _월간~11" xfId="337" xr:uid="{00000000-0005-0000-0000-000049010000}"/>
    <cellStyle name="Ç¥ÁØ_5-1±¤°í _월간~11" xfId="338" xr:uid="{00000000-0005-0000-0000-00004A010000}"/>
    <cellStyle name="C￥AØ_5-1±¤°i _월간~11_200208~1" xfId="339" xr:uid="{00000000-0005-0000-0000-00004B010000}"/>
    <cellStyle name="Ç¥ÁØ_5-1±¤°í _월간~11_200208~1" xfId="340" xr:uid="{00000000-0005-0000-0000-00004C010000}"/>
    <cellStyle name="C￥AØ_5-1±¤°i _월간~11_200209~1" xfId="341" xr:uid="{00000000-0005-0000-0000-00004D010000}"/>
    <cellStyle name="Ç¥ÁØ_5-1±¤°í _월간~11_200209~1" xfId="342" xr:uid="{00000000-0005-0000-0000-00004E010000}"/>
    <cellStyle name="C￥AØ_5-1±¤°i _월간~11_2004.10.27 대형취급점 접수변경 및 집하지침 안내 (택업 2004-396)" xfId="343" xr:uid="{00000000-0005-0000-0000-00004F010000}"/>
    <cellStyle name="Ç¥ÁØ_5-1±¤°í _월간~11_2004.10.27 대형취급점 접수변경 및 집하지침 안내 (택업 2004-396)" xfId="344" xr:uid="{00000000-0005-0000-0000-000050010000}"/>
    <cellStyle name="C￥AØ_5-1±¤°i _월간~11_2005.05  MBC ESPN 인라인마라톤 품의" xfId="345" xr:uid="{00000000-0005-0000-0000-000051010000}"/>
    <cellStyle name="Ç¥ÁØ_5-1±¤°í _월간~11_2005.05  MBC ESPN 인라인마라톤 품의" xfId="346" xr:uid="{00000000-0005-0000-0000-000052010000}"/>
    <cellStyle name="C￥AØ_5-1±¤°i _월간~11_2005년 01월 개인택배 집하관리 벌과금확정" xfId="347" xr:uid="{00000000-0005-0000-0000-000053010000}"/>
    <cellStyle name="Ç¥ÁØ_5-1±¤°í _월간~11_2005년 01월 개인택배 집하관리 벌과금확정" xfId="348" xr:uid="{00000000-0005-0000-0000-000054010000}"/>
    <cellStyle name="C￥AØ_5-1±¤°i _월간~11_2005년 1.4 분기 개인택배 실적우수점소 포상관련 품의 (050414)" xfId="349" xr:uid="{00000000-0005-0000-0000-000055010000}"/>
    <cellStyle name="Ç¥ÁØ_5-1±¤°í _월간~11_2005년 1.4 분기 개인택배 실적우수점소 포상관련 품의 (050414)" xfId="350" xr:uid="{00000000-0005-0000-0000-000056010000}"/>
    <cellStyle name="C￥AØ_5-1±¤°i _월간~11_7월선급금" xfId="351" xr:uid="{00000000-0005-0000-0000-000057010000}"/>
    <cellStyle name="Ç¥ÁØ_5-1±¤°í _월간~11_7월선급금" xfId="352" xr:uid="{00000000-0005-0000-0000-000058010000}"/>
    <cellStyle name="C￥AØ_5-1±¤°i _월간~11_TEST" xfId="353" xr:uid="{00000000-0005-0000-0000-000059010000}"/>
    <cellStyle name="Ç¥ÁØ_5-1±¤°í _월간~11_TEST" xfId="354" xr:uid="{00000000-0005-0000-0000-00005A010000}"/>
    <cellStyle name="C￥AØ_5-1±¤°i _월간~11_경비6~1" xfId="355" xr:uid="{00000000-0005-0000-0000-00005B010000}"/>
    <cellStyle name="Ç¥ÁØ_5-1±¤°í _월간~11_경비6~1" xfId="356" xr:uid="{00000000-0005-0000-0000-00005C010000}"/>
    <cellStyle name="C￥AØ_5-1±¤°i _월간~11_경비6~1_천안셔틀타임테이블거리(20021015)" xfId="357" xr:uid="{00000000-0005-0000-0000-00005D010000}"/>
    <cellStyle name="Ç¥ÁØ_5-1±¤°í _월간~11_경비6~1_천안셔틀타임테이블거리(20021015)" xfId="358" xr:uid="{00000000-0005-0000-0000-00005E010000}"/>
    <cellStyle name="C￥AØ_5-1±¤°i _월간~11_경비7~1" xfId="359" xr:uid="{00000000-0005-0000-0000-00005F010000}"/>
    <cellStyle name="Ç¥ÁØ_5-1±¤°í _월간~11_경비7~1" xfId="360" xr:uid="{00000000-0005-0000-0000-000060010000}"/>
    <cellStyle name="C￥AØ_5-1±¤°i _월간~11_경비7~1_천안셔틀타임테이블거리(20021015)" xfId="361" xr:uid="{00000000-0005-0000-0000-000061010000}"/>
    <cellStyle name="Ç¥ÁØ_5-1±¤°í _월간~11_경비7~1_천안셔틀타임테이블거리(20021015)" xfId="362" xr:uid="{00000000-0005-0000-0000-000062010000}"/>
    <cellStyle name="C￥AØ_5-1±¤°i _월간~11_운송경비" xfId="363" xr:uid="{00000000-0005-0000-0000-000063010000}"/>
    <cellStyle name="Ç¥ÁØ_5-1±¤°í _월간~11_운송경비" xfId="364" xr:uid="{00000000-0005-0000-0000-000064010000}"/>
    <cellStyle name="C￥AØ_5-1±¤°i _월간~11_천안셔틀타임테이블거리(20021015)" xfId="365" xr:uid="{00000000-0005-0000-0000-000065010000}"/>
    <cellStyle name="Ç¥ÁØ_5-1±¤°í _월간~11_천안셔틀타임테이블거리(20021015)" xfId="366" xr:uid="{00000000-0005-0000-0000-000066010000}"/>
    <cellStyle name="C￥AØ_5-1±¤°i _월간~11_택마 2004-    취급점 활성화위한 집하관리 결과공지 건" xfId="367" xr:uid="{00000000-0005-0000-0000-000067010000}"/>
    <cellStyle name="Ç¥ÁØ_5-1±¤°í _월간~11_택마 2004-    취급점 활성화위한 집하관리 결과공지 건" xfId="368" xr:uid="{00000000-0005-0000-0000-000068010000}"/>
    <cellStyle name="C￥AØ_5-1±¤°i _월간~11_택마 2004-263 개인택배 활성화위한 집하관리 결과공지 건" xfId="369" xr:uid="{00000000-0005-0000-0000-000069010000}"/>
    <cellStyle name="Ç¥ÁØ_5-1±¤°í _월간~11_택마 2004-263 개인택배 활성화위한 집하관리 결과공지 건" xfId="370" xr:uid="{00000000-0005-0000-0000-00006A010000}"/>
    <cellStyle name="C￥AØ_5-1±¤°i _월간~11_택마 2005-191 추계5대 마라톤대회 유치관련 공문" xfId="371" xr:uid="{00000000-0005-0000-0000-00006B010000}"/>
    <cellStyle name="Ç¥ÁØ_5-1±¤°í _월간~11_택마 2005-191 추계5대 마라톤대회 유치관련 공문" xfId="372" xr:uid="{00000000-0005-0000-0000-00006C010000}"/>
    <cellStyle name="C￥AØ_5-1±¤°i _월간10" xfId="373" xr:uid="{00000000-0005-0000-0000-00006D010000}"/>
    <cellStyle name="Ç¥ÁØ_5-1±¤°í _월간10" xfId="374" xr:uid="{00000000-0005-0000-0000-00006E010000}"/>
    <cellStyle name="C￥AØ_5-1±¤°i _월간10_200208~1" xfId="375" xr:uid="{00000000-0005-0000-0000-00006F010000}"/>
    <cellStyle name="Ç¥ÁØ_5-1±¤°í _월간10_200208~1" xfId="376" xr:uid="{00000000-0005-0000-0000-000070010000}"/>
    <cellStyle name="C￥AØ_5-1±¤°i _월간10_200209~1" xfId="377" xr:uid="{00000000-0005-0000-0000-000071010000}"/>
    <cellStyle name="Ç¥ÁØ_5-1±¤°í _월간10_200209~1" xfId="378" xr:uid="{00000000-0005-0000-0000-000072010000}"/>
    <cellStyle name="C￥AØ_5-1±¤°i _월간10_2004.10.27 대형취급점 접수변경 및 집하지침 안내 (택업 2004-396)" xfId="379" xr:uid="{00000000-0005-0000-0000-000073010000}"/>
    <cellStyle name="Ç¥ÁØ_5-1±¤°í _월간10_2004.10.27 대형취급점 접수변경 및 집하지침 안내 (택업 2004-396)" xfId="380" xr:uid="{00000000-0005-0000-0000-000074010000}"/>
    <cellStyle name="C￥AØ_5-1±¤°i _월간10_2005.05  MBC ESPN 인라인마라톤 품의" xfId="381" xr:uid="{00000000-0005-0000-0000-000075010000}"/>
    <cellStyle name="Ç¥ÁØ_5-1±¤°í _월간10_2005.05  MBC ESPN 인라인마라톤 품의" xfId="382" xr:uid="{00000000-0005-0000-0000-000076010000}"/>
    <cellStyle name="C￥AØ_5-1±¤°i _월간10_2005년 01월 개인택배 집하관리 벌과금확정" xfId="383" xr:uid="{00000000-0005-0000-0000-000077010000}"/>
    <cellStyle name="Ç¥ÁØ_5-1±¤°í _월간10_2005년 01월 개인택배 집하관리 벌과금확정" xfId="384" xr:uid="{00000000-0005-0000-0000-000078010000}"/>
    <cellStyle name="C￥AØ_5-1±¤°i _월간10_2005년 1.4 분기 개인택배 실적우수점소 포상관련 품의 (050414)" xfId="385" xr:uid="{00000000-0005-0000-0000-000079010000}"/>
    <cellStyle name="Ç¥ÁØ_5-1±¤°í _월간10_2005년 1.4 분기 개인택배 실적우수점소 포상관련 품의 (050414)" xfId="386" xr:uid="{00000000-0005-0000-0000-00007A010000}"/>
    <cellStyle name="C￥AØ_5-1±¤°i _월간10_7월선급금" xfId="387" xr:uid="{00000000-0005-0000-0000-00007B010000}"/>
    <cellStyle name="Ç¥ÁØ_5-1±¤°í _월간10_7월선급금" xfId="388" xr:uid="{00000000-0005-0000-0000-00007C010000}"/>
    <cellStyle name="C￥AØ_5-1±¤°i _월간10_TEST" xfId="389" xr:uid="{00000000-0005-0000-0000-00007D010000}"/>
    <cellStyle name="Ç¥ÁØ_5-1±¤°í _월간10_TEST" xfId="390" xr:uid="{00000000-0005-0000-0000-00007E010000}"/>
    <cellStyle name="C￥AØ_5-1±¤°i _월간10_경비6~1" xfId="391" xr:uid="{00000000-0005-0000-0000-00007F010000}"/>
    <cellStyle name="Ç¥ÁØ_5-1±¤°í _월간10_경비6~1" xfId="392" xr:uid="{00000000-0005-0000-0000-000080010000}"/>
    <cellStyle name="C￥AØ_5-1±¤°i _월간10_경비6~1_천안셔틀타임테이블거리(20021015)" xfId="393" xr:uid="{00000000-0005-0000-0000-000081010000}"/>
    <cellStyle name="Ç¥ÁØ_5-1±¤°í _월간10_경비6~1_천안셔틀타임테이블거리(20021015)" xfId="394" xr:uid="{00000000-0005-0000-0000-000082010000}"/>
    <cellStyle name="C￥AØ_5-1±¤°i _월간10_경비7~1" xfId="395" xr:uid="{00000000-0005-0000-0000-000083010000}"/>
    <cellStyle name="Ç¥ÁØ_5-1±¤°í _월간10_경비7~1" xfId="396" xr:uid="{00000000-0005-0000-0000-000084010000}"/>
    <cellStyle name="C￥AØ_5-1±¤°i _월간10_경비7~1_천안셔틀타임테이블거리(20021015)" xfId="397" xr:uid="{00000000-0005-0000-0000-000085010000}"/>
    <cellStyle name="Ç¥ÁØ_5-1±¤°í _월간10_경비7~1_천안셔틀타임테이블거리(20021015)" xfId="398" xr:uid="{00000000-0005-0000-0000-000086010000}"/>
    <cellStyle name="C￥AØ_5-1±¤°i _월간10_운송경비" xfId="399" xr:uid="{00000000-0005-0000-0000-000087010000}"/>
    <cellStyle name="Ç¥ÁØ_5-1±¤°í _월간10_운송경비" xfId="400" xr:uid="{00000000-0005-0000-0000-000088010000}"/>
    <cellStyle name="C￥AØ_5-1±¤°i _월간10_천안셔틀타임테이블거리(20021015)" xfId="401" xr:uid="{00000000-0005-0000-0000-000089010000}"/>
    <cellStyle name="Ç¥ÁØ_5-1±¤°í _월간10_천안셔틀타임테이블거리(20021015)" xfId="402" xr:uid="{00000000-0005-0000-0000-00008A010000}"/>
    <cellStyle name="C￥AØ_5-1±¤°i _월간10_택마 2004-    취급점 활성화위한 집하관리 결과공지 건" xfId="403" xr:uid="{00000000-0005-0000-0000-00008B010000}"/>
    <cellStyle name="Ç¥ÁØ_5-1±¤°í _월간10_택마 2004-    취급점 활성화위한 집하관리 결과공지 건" xfId="404" xr:uid="{00000000-0005-0000-0000-00008C010000}"/>
    <cellStyle name="C￥AØ_5-1±¤°i _월간10_택마 2004-263 개인택배 활성화위한 집하관리 결과공지 건" xfId="405" xr:uid="{00000000-0005-0000-0000-00008D010000}"/>
    <cellStyle name="Ç¥ÁØ_5-1±¤°í _월간10_택마 2004-263 개인택배 활성화위한 집하관리 결과공지 건" xfId="406" xr:uid="{00000000-0005-0000-0000-00008E010000}"/>
    <cellStyle name="C￥AØ_5-1±¤°i _월간10_택마 2005-191 추계5대 마라톤대회 유치관련 공문" xfId="407" xr:uid="{00000000-0005-0000-0000-00008F010000}"/>
    <cellStyle name="Ç¥ÁØ_5-1±¤°í _월간10_택마 2005-191 추계5대 마라톤대회 유치관련 공문" xfId="408" xr:uid="{00000000-0005-0000-0000-000090010000}"/>
    <cellStyle name="C￥AØ_5-1±¤°i _월간11" xfId="409" xr:uid="{00000000-0005-0000-0000-000091010000}"/>
    <cellStyle name="Ç¥ÁØ_5-1±¤°í _월간11" xfId="410" xr:uid="{00000000-0005-0000-0000-000092010000}"/>
    <cellStyle name="C￥AØ_5-1±¤°i _월간11_200208~1" xfId="411" xr:uid="{00000000-0005-0000-0000-000093010000}"/>
    <cellStyle name="Ç¥ÁØ_5-1±¤°í _월간11_200208~1" xfId="412" xr:uid="{00000000-0005-0000-0000-000094010000}"/>
    <cellStyle name="C￥AØ_5-1±¤°i _월간11_200209~1" xfId="413" xr:uid="{00000000-0005-0000-0000-000095010000}"/>
    <cellStyle name="Ç¥ÁØ_5-1±¤°í _월간11_200209~1" xfId="414" xr:uid="{00000000-0005-0000-0000-000096010000}"/>
    <cellStyle name="C￥AØ_5-1±¤°i _월간11_2004.10.27 대형취급점 접수변경 및 집하지침 안내 (택업 2004-396)" xfId="415" xr:uid="{00000000-0005-0000-0000-000097010000}"/>
    <cellStyle name="Ç¥ÁØ_5-1±¤°í _월간11_2004.10.27 대형취급점 접수변경 및 집하지침 안내 (택업 2004-396)" xfId="416" xr:uid="{00000000-0005-0000-0000-000098010000}"/>
    <cellStyle name="C￥AØ_5-1±¤°i _월간11_2005.05  MBC ESPN 인라인마라톤 품의" xfId="417" xr:uid="{00000000-0005-0000-0000-000099010000}"/>
    <cellStyle name="Ç¥ÁØ_5-1±¤°í _월간11_2005.05  MBC ESPN 인라인마라톤 품의" xfId="418" xr:uid="{00000000-0005-0000-0000-00009A010000}"/>
    <cellStyle name="C￥AØ_5-1±¤°i _월간11_2005년 01월 개인택배 집하관리 벌과금확정" xfId="419" xr:uid="{00000000-0005-0000-0000-00009B010000}"/>
    <cellStyle name="Ç¥ÁØ_5-1±¤°í _월간11_2005년 01월 개인택배 집하관리 벌과금확정" xfId="420" xr:uid="{00000000-0005-0000-0000-00009C010000}"/>
    <cellStyle name="C￥AØ_5-1±¤°i _월간11_2005년 1.4 분기 개인택배 실적우수점소 포상관련 품의 (050414)" xfId="421" xr:uid="{00000000-0005-0000-0000-00009D010000}"/>
    <cellStyle name="Ç¥ÁØ_5-1±¤°í _월간11_2005년 1.4 분기 개인택배 실적우수점소 포상관련 품의 (050414)" xfId="422" xr:uid="{00000000-0005-0000-0000-00009E010000}"/>
    <cellStyle name="C￥AØ_5-1±¤°i _월간11_7월선급금" xfId="423" xr:uid="{00000000-0005-0000-0000-00009F010000}"/>
    <cellStyle name="Ç¥ÁØ_5-1±¤°í _월간11_7월선급금" xfId="424" xr:uid="{00000000-0005-0000-0000-0000A0010000}"/>
    <cellStyle name="C￥AØ_5-1±¤°i _월간11_TEST" xfId="425" xr:uid="{00000000-0005-0000-0000-0000A1010000}"/>
    <cellStyle name="Ç¥ÁØ_5-1±¤°í _월간11_TEST" xfId="426" xr:uid="{00000000-0005-0000-0000-0000A2010000}"/>
    <cellStyle name="C￥AØ_5-1±¤°i _월간11_경비6~1" xfId="427" xr:uid="{00000000-0005-0000-0000-0000A3010000}"/>
    <cellStyle name="Ç¥ÁØ_5-1±¤°í _월간11_경비6~1" xfId="428" xr:uid="{00000000-0005-0000-0000-0000A4010000}"/>
    <cellStyle name="C￥AØ_5-1±¤°i _월간11_경비6~1_천안셔틀타임테이블거리(20021015)" xfId="429" xr:uid="{00000000-0005-0000-0000-0000A5010000}"/>
    <cellStyle name="Ç¥ÁØ_5-1±¤°í _월간11_경비6~1_천안셔틀타임테이블거리(20021015)" xfId="430" xr:uid="{00000000-0005-0000-0000-0000A6010000}"/>
    <cellStyle name="C￥AØ_5-1±¤°i _월간11_경비7~1" xfId="431" xr:uid="{00000000-0005-0000-0000-0000A7010000}"/>
    <cellStyle name="Ç¥ÁØ_5-1±¤°í _월간11_경비7~1" xfId="432" xr:uid="{00000000-0005-0000-0000-0000A8010000}"/>
    <cellStyle name="C￥AØ_5-1±¤°i _월간11_경비7~1_천안셔틀타임테이블거리(20021015)" xfId="433" xr:uid="{00000000-0005-0000-0000-0000A9010000}"/>
    <cellStyle name="Ç¥ÁØ_5-1±¤°í _월간11_경비7~1_천안셔틀타임테이블거리(20021015)" xfId="434" xr:uid="{00000000-0005-0000-0000-0000AA010000}"/>
    <cellStyle name="C￥AØ_5-1±¤°i _월간11_운송경비" xfId="435" xr:uid="{00000000-0005-0000-0000-0000AB010000}"/>
    <cellStyle name="Ç¥ÁØ_5-1±¤°í _월간11_운송경비" xfId="436" xr:uid="{00000000-0005-0000-0000-0000AC010000}"/>
    <cellStyle name="C￥AØ_5-1±¤°i _월간11_천안셔틀타임테이블거리(20021015)" xfId="437" xr:uid="{00000000-0005-0000-0000-0000AD010000}"/>
    <cellStyle name="Ç¥ÁØ_5-1±¤°í _월간11_천안셔틀타임테이블거리(20021015)" xfId="438" xr:uid="{00000000-0005-0000-0000-0000AE010000}"/>
    <cellStyle name="C￥AØ_5-1±¤°i _월간11_택마 2004-    취급점 활성화위한 집하관리 결과공지 건" xfId="439" xr:uid="{00000000-0005-0000-0000-0000AF010000}"/>
    <cellStyle name="Ç¥ÁØ_5-1±¤°í _월간11_택마 2004-    취급점 활성화위한 집하관리 결과공지 건" xfId="440" xr:uid="{00000000-0005-0000-0000-0000B0010000}"/>
    <cellStyle name="C￥AØ_5-1±¤°i _월간11_택마 2004-263 개인택배 활성화위한 집하관리 결과공지 건" xfId="441" xr:uid="{00000000-0005-0000-0000-0000B1010000}"/>
    <cellStyle name="Ç¥ÁØ_5-1±¤°í _월간11_택마 2004-263 개인택배 활성화위한 집하관리 결과공지 건" xfId="442" xr:uid="{00000000-0005-0000-0000-0000B2010000}"/>
    <cellStyle name="C￥AØ_5-1±¤°i _월간11_택마 2005-191 추계5대 마라톤대회 유치관련 공문" xfId="443" xr:uid="{00000000-0005-0000-0000-0000B3010000}"/>
    <cellStyle name="Ç¥ÁØ_5-1±¤°í _월간11_택마 2005-191 추계5대 마라톤대회 유치관련 공문" xfId="444" xr:uid="{00000000-0005-0000-0000-0000B4010000}"/>
    <cellStyle name="C￥AØ_5-1±¤°i _월간보~9" xfId="445" xr:uid="{00000000-0005-0000-0000-0000B5010000}"/>
    <cellStyle name="Ç¥ÁØ_5-1±¤°í _월간보~9" xfId="446" xr:uid="{00000000-0005-0000-0000-0000B6010000}"/>
    <cellStyle name="C￥AØ_5-1±¤°i _월간보~9_200208~1" xfId="447" xr:uid="{00000000-0005-0000-0000-0000B7010000}"/>
    <cellStyle name="Ç¥ÁØ_5-1±¤°í _월간보~9_200208~1" xfId="448" xr:uid="{00000000-0005-0000-0000-0000B8010000}"/>
    <cellStyle name="C￥AØ_5-1±¤°i _월간보~9_200209~1" xfId="449" xr:uid="{00000000-0005-0000-0000-0000B9010000}"/>
    <cellStyle name="Ç¥ÁØ_5-1±¤°í _월간보~9_200209~1" xfId="450" xr:uid="{00000000-0005-0000-0000-0000BA010000}"/>
    <cellStyle name="C￥AØ_5-1±¤°i _월간보~9_2004.10.27 대형취급점 접수변경 및 집하지침 안내 (택업 2004-396)" xfId="451" xr:uid="{00000000-0005-0000-0000-0000BB010000}"/>
    <cellStyle name="Ç¥ÁØ_5-1±¤°í _월간보~9_2004.10.27 대형취급점 접수변경 및 집하지침 안내 (택업 2004-396)" xfId="452" xr:uid="{00000000-0005-0000-0000-0000BC010000}"/>
    <cellStyle name="C￥AØ_5-1±¤°i _월간보~9_2005.05  MBC ESPN 인라인마라톤 품의" xfId="453" xr:uid="{00000000-0005-0000-0000-0000BD010000}"/>
    <cellStyle name="Ç¥ÁØ_5-1±¤°í _월간보~9_2005.05  MBC ESPN 인라인마라톤 품의" xfId="454" xr:uid="{00000000-0005-0000-0000-0000BE010000}"/>
    <cellStyle name="C￥AØ_5-1±¤°i _월간보~9_2005년 01월 개인택배 집하관리 벌과금확정" xfId="455" xr:uid="{00000000-0005-0000-0000-0000BF010000}"/>
    <cellStyle name="Ç¥ÁØ_5-1±¤°í _월간보~9_2005년 01월 개인택배 집하관리 벌과금확정" xfId="456" xr:uid="{00000000-0005-0000-0000-0000C0010000}"/>
    <cellStyle name="C￥AØ_5-1±¤°i _월간보~9_2005년 1.4 분기 개인택배 실적우수점소 포상관련 품의 (050414)" xfId="457" xr:uid="{00000000-0005-0000-0000-0000C1010000}"/>
    <cellStyle name="Ç¥ÁØ_5-1±¤°í _월간보~9_2005년 1.4 분기 개인택배 실적우수점소 포상관련 품의 (050414)" xfId="458" xr:uid="{00000000-0005-0000-0000-0000C2010000}"/>
    <cellStyle name="C￥AØ_5-1±¤°i _월간보~9_7월선급금" xfId="459" xr:uid="{00000000-0005-0000-0000-0000C3010000}"/>
    <cellStyle name="Ç¥ÁØ_5-1±¤°í _월간보~9_7월선급금" xfId="460" xr:uid="{00000000-0005-0000-0000-0000C4010000}"/>
    <cellStyle name="C￥AØ_5-1±¤°i _월간보~9_TEST" xfId="461" xr:uid="{00000000-0005-0000-0000-0000C5010000}"/>
    <cellStyle name="Ç¥ÁØ_5-1±¤°í _월간보~9_TEST" xfId="462" xr:uid="{00000000-0005-0000-0000-0000C6010000}"/>
    <cellStyle name="C￥AØ_5-1±¤°i _월간보~9_경비6~1" xfId="463" xr:uid="{00000000-0005-0000-0000-0000C7010000}"/>
    <cellStyle name="Ç¥ÁØ_5-1±¤°í _월간보~9_경비6~1" xfId="464" xr:uid="{00000000-0005-0000-0000-0000C8010000}"/>
    <cellStyle name="C￥AØ_5-1±¤°i _월간보~9_경비6~1_천안셔틀타임테이블거리(20021015)" xfId="465" xr:uid="{00000000-0005-0000-0000-0000C9010000}"/>
    <cellStyle name="Ç¥ÁØ_5-1±¤°í _월간보~9_경비6~1_천안셔틀타임테이블거리(20021015)" xfId="466" xr:uid="{00000000-0005-0000-0000-0000CA010000}"/>
    <cellStyle name="C￥AØ_5-1±¤°i _월간보~9_경비7~1" xfId="467" xr:uid="{00000000-0005-0000-0000-0000CB010000}"/>
    <cellStyle name="Ç¥ÁØ_5-1±¤°í _월간보~9_경비7~1" xfId="468" xr:uid="{00000000-0005-0000-0000-0000CC010000}"/>
    <cellStyle name="C￥AØ_5-1±¤°i _월간보~9_경비7~1_천안셔틀타임테이블거리(20021015)" xfId="469" xr:uid="{00000000-0005-0000-0000-0000CD010000}"/>
    <cellStyle name="Ç¥ÁØ_5-1±¤°í _월간보~9_경비7~1_천안셔틀타임테이블거리(20021015)" xfId="470" xr:uid="{00000000-0005-0000-0000-0000CE010000}"/>
    <cellStyle name="C￥AØ_5-1±¤°i _월간보~9_운송경비" xfId="471" xr:uid="{00000000-0005-0000-0000-0000CF010000}"/>
    <cellStyle name="Ç¥ÁØ_5-1±¤°í _월간보~9_운송경비" xfId="472" xr:uid="{00000000-0005-0000-0000-0000D0010000}"/>
    <cellStyle name="C￥AØ_5-1±¤°i _월간보~9_천안셔틀타임테이블거리(20021015)" xfId="473" xr:uid="{00000000-0005-0000-0000-0000D1010000}"/>
    <cellStyle name="Ç¥ÁØ_5-1±¤°í _월간보~9_천안셔틀타임테이블거리(20021015)" xfId="474" xr:uid="{00000000-0005-0000-0000-0000D2010000}"/>
    <cellStyle name="C￥AØ_5-1±¤°i _월간보~9_택마 2004-    취급점 활성화위한 집하관리 결과공지 건" xfId="475" xr:uid="{00000000-0005-0000-0000-0000D3010000}"/>
    <cellStyle name="Ç¥ÁØ_5-1±¤°í _월간보~9_택마 2004-    취급점 활성화위한 집하관리 결과공지 건" xfId="476" xr:uid="{00000000-0005-0000-0000-0000D4010000}"/>
    <cellStyle name="C￥AØ_5-1±¤°i _월간보~9_택마 2004-263 개인택배 활성화위한 집하관리 결과공지 건" xfId="477" xr:uid="{00000000-0005-0000-0000-0000D5010000}"/>
    <cellStyle name="Ç¥ÁØ_5-1±¤°í _월간보~9_택마 2004-263 개인택배 활성화위한 집하관리 결과공지 건" xfId="478" xr:uid="{00000000-0005-0000-0000-0000D6010000}"/>
    <cellStyle name="C￥AØ_5-1±¤°i _월간보~9_택마 2005-191 추계5대 마라톤대회 유치관련 공문" xfId="479" xr:uid="{00000000-0005-0000-0000-0000D7010000}"/>
    <cellStyle name="Ç¥ÁØ_5-1±¤°í _월간보~9_택마 2005-191 추계5대 마라톤대회 유치관련 공문" xfId="480" xr:uid="{00000000-0005-0000-0000-0000D8010000}"/>
    <cellStyle name="C￥AØ_5-1±¤°i _종로" xfId="481" xr:uid="{00000000-0005-0000-0000-0000D9010000}"/>
    <cellStyle name="Ç¥ÁØ_5-1±¤°í _종로" xfId="482" xr:uid="{00000000-0005-0000-0000-0000DA010000}"/>
    <cellStyle name="C￥AØ_5-1±¤°i _종로_200208~1" xfId="483" xr:uid="{00000000-0005-0000-0000-0000DB010000}"/>
    <cellStyle name="Ç¥ÁØ_5-1±¤°í _종로_200208~1" xfId="484" xr:uid="{00000000-0005-0000-0000-0000DC010000}"/>
    <cellStyle name="C￥AØ_5-1±¤°i _종로_200209~1" xfId="485" xr:uid="{00000000-0005-0000-0000-0000DD010000}"/>
    <cellStyle name="Ç¥ÁØ_5-1±¤°í _종로_200209~1" xfId="486" xr:uid="{00000000-0005-0000-0000-0000DE010000}"/>
    <cellStyle name="C￥AØ_5-1±¤°i _종로_2004.10.27 대형취급점 접수변경 및 집하지침 안내 (택업 2004-396)" xfId="487" xr:uid="{00000000-0005-0000-0000-0000DF010000}"/>
    <cellStyle name="Ç¥ÁØ_5-1±¤°í _종로_2004.10.27 대형취급점 접수변경 및 집하지침 안내 (택업 2004-396)" xfId="488" xr:uid="{00000000-0005-0000-0000-0000E0010000}"/>
    <cellStyle name="C￥AØ_5-1±¤°i _종로_2005.05  MBC ESPN 인라인마라톤 품의" xfId="489" xr:uid="{00000000-0005-0000-0000-0000E1010000}"/>
    <cellStyle name="Ç¥ÁØ_5-1±¤°í _종로_2005.05  MBC ESPN 인라인마라톤 품의" xfId="490" xr:uid="{00000000-0005-0000-0000-0000E2010000}"/>
    <cellStyle name="C￥AØ_5-1±¤°i _종로_2005년 01월 개인택배 집하관리 벌과금확정" xfId="491" xr:uid="{00000000-0005-0000-0000-0000E3010000}"/>
    <cellStyle name="Ç¥ÁØ_5-1±¤°í _종로_2005년 01월 개인택배 집하관리 벌과금확정" xfId="492" xr:uid="{00000000-0005-0000-0000-0000E4010000}"/>
    <cellStyle name="C￥AØ_5-1±¤°i _종로_2005년 1.4 분기 개인택배 실적우수점소 포상관련 품의 (050414)" xfId="493" xr:uid="{00000000-0005-0000-0000-0000E5010000}"/>
    <cellStyle name="Ç¥ÁØ_5-1±¤°í _종로_2005년 1.4 분기 개인택배 실적우수점소 포상관련 품의 (050414)" xfId="494" xr:uid="{00000000-0005-0000-0000-0000E6010000}"/>
    <cellStyle name="C￥AØ_5-1±¤°i _종로_7월선급금" xfId="495" xr:uid="{00000000-0005-0000-0000-0000E7010000}"/>
    <cellStyle name="Ç¥ÁØ_5-1±¤°í _종로_7월선급금" xfId="496" xr:uid="{00000000-0005-0000-0000-0000E8010000}"/>
    <cellStyle name="C￥AØ_5-1±¤°i _종로_TEST" xfId="497" xr:uid="{00000000-0005-0000-0000-0000E9010000}"/>
    <cellStyle name="Ç¥ÁØ_5-1±¤°í _종로_TEST" xfId="498" xr:uid="{00000000-0005-0000-0000-0000EA010000}"/>
    <cellStyle name="C￥AØ_5-1±¤°i _종로_경비6~1" xfId="499" xr:uid="{00000000-0005-0000-0000-0000EB010000}"/>
    <cellStyle name="Ç¥ÁØ_5-1±¤°í _종로_경비6~1" xfId="500" xr:uid="{00000000-0005-0000-0000-0000EC010000}"/>
    <cellStyle name="C￥AØ_5-1±¤°i _종로_경비6~1_천안셔틀타임테이블거리(20021015)" xfId="501" xr:uid="{00000000-0005-0000-0000-0000ED010000}"/>
    <cellStyle name="Ç¥ÁØ_5-1±¤°í _종로_경비6~1_천안셔틀타임테이블거리(20021015)" xfId="502" xr:uid="{00000000-0005-0000-0000-0000EE010000}"/>
    <cellStyle name="C￥AØ_5-1±¤°i _종로_경비7~1" xfId="503" xr:uid="{00000000-0005-0000-0000-0000EF010000}"/>
    <cellStyle name="Ç¥ÁØ_5-1±¤°í _종로_경비7~1" xfId="504" xr:uid="{00000000-0005-0000-0000-0000F0010000}"/>
    <cellStyle name="C￥AØ_5-1±¤°i _종로_경비7~1_천안셔틀타임테이블거리(20021015)" xfId="505" xr:uid="{00000000-0005-0000-0000-0000F1010000}"/>
    <cellStyle name="Ç¥ÁØ_5-1±¤°í _종로_경비7~1_천안셔틀타임테이블거리(20021015)" xfId="506" xr:uid="{00000000-0005-0000-0000-0000F2010000}"/>
    <cellStyle name="C￥AØ_5-1±¤°i _종로_운송경비" xfId="507" xr:uid="{00000000-0005-0000-0000-0000F3010000}"/>
    <cellStyle name="Ç¥ÁØ_5-1±¤°í _종로_운송경비" xfId="508" xr:uid="{00000000-0005-0000-0000-0000F4010000}"/>
    <cellStyle name="C￥AØ_5-1±¤°i _종로_천안셔틀타임테이블거리(20021015)" xfId="509" xr:uid="{00000000-0005-0000-0000-0000F5010000}"/>
    <cellStyle name="Ç¥ÁØ_5-1±¤°í _종로_천안셔틀타임테이블거리(20021015)" xfId="510" xr:uid="{00000000-0005-0000-0000-0000F6010000}"/>
    <cellStyle name="C￥AØ_5-1±¤°i _종로_택마 2004-    취급점 활성화위한 집하관리 결과공지 건" xfId="511" xr:uid="{00000000-0005-0000-0000-0000F7010000}"/>
    <cellStyle name="Ç¥ÁØ_5-1±¤°í _종로_택마 2004-    취급점 활성화위한 집하관리 결과공지 건" xfId="512" xr:uid="{00000000-0005-0000-0000-0000F8010000}"/>
    <cellStyle name="C￥AØ_5-1±¤°i _종로_택마 2004-263 개인택배 활성화위한 집하관리 결과공지 건" xfId="513" xr:uid="{00000000-0005-0000-0000-0000F9010000}"/>
    <cellStyle name="Ç¥ÁØ_5-1±¤°í _종로_택마 2004-263 개인택배 활성화위한 집하관리 결과공지 건" xfId="514" xr:uid="{00000000-0005-0000-0000-0000FA010000}"/>
    <cellStyle name="C￥AØ_5-1±¤°i _종로_택마 2005-191 추계5대 마라톤대회 유치관련 공문" xfId="515" xr:uid="{00000000-0005-0000-0000-0000FB010000}"/>
    <cellStyle name="Ç¥ÁØ_5-1±¤°í _종로_택마 2005-191 추계5대 마라톤대회 유치관련 공문" xfId="516" xr:uid="{00000000-0005-0000-0000-0000FC010000}"/>
    <cellStyle name="C￥AØ_A≫c ¸AAaºÐ¼R " xfId="517" xr:uid="{00000000-0005-0000-0000-0000FD010000}"/>
    <cellStyle name="Ç¥ÁØ_Áý°èÇ¥(2¿ù) " xfId="518" xr:uid="{00000000-0005-0000-0000-0000FE010000}"/>
    <cellStyle name="C￥AØ_Ay°eC￥(2¿u) _0109월수" xfId="519" xr:uid="{00000000-0005-0000-0000-0000FF010000}"/>
    <cellStyle name="Ç¥ÁØ_Áý°èÇ¥(2¿ù) _0109월수" xfId="520" xr:uid="{00000000-0005-0000-0000-000000020000}"/>
    <cellStyle name="C￥AØ_Ay°eC￥(2¿u) _0109월수_200208~1" xfId="521" xr:uid="{00000000-0005-0000-0000-000001020000}"/>
    <cellStyle name="Ç¥ÁØ_Áý°èÇ¥(2¿ù) _0109월수_200208~1" xfId="522" xr:uid="{00000000-0005-0000-0000-000002020000}"/>
    <cellStyle name="C￥AØ_Ay°eC￥(2¿u) _0109월수_200209~1" xfId="523" xr:uid="{00000000-0005-0000-0000-000003020000}"/>
    <cellStyle name="Ç¥ÁØ_Áý°èÇ¥(2¿ù) _0109월수_200209~1" xfId="524" xr:uid="{00000000-0005-0000-0000-000004020000}"/>
    <cellStyle name="C￥AØ_Ay°eC￥(2¿u) _0109월수_2004.10.27 대형취급점 접수변경 및 집하지침 안내 (택업 2004-396)" xfId="525" xr:uid="{00000000-0005-0000-0000-000005020000}"/>
    <cellStyle name="Ç¥ÁØ_Áý°èÇ¥(2¿ù) _0109월수_2004.10.27 대형취급점 접수변경 및 집하지침 안내 (택업 2004-396)" xfId="526" xr:uid="{00000000-0005-0000-0000-000006020000}"/>
    <cellStyle name="C￥AØ_Ay°eC￥(2¿u) _0109월수_2005.05  MBC ESPN 인라인마라톤 품의" xfId="527" xr:uid="{00000000-0005-0000-0000-000007020000}"/>
    <cellStyle name="Ç¥ÁØ_Áý°èÇ¥(2¿ù) _0109월수_2005.05  MBC ESPN 인라인마라톤 품의" xfId="528" xr:uid="{00000000-0005-0000-0000-000008020000}"/>
    <cellStyle name="C￥AØ_Ay°eC￥(2¿u) _0109월수_2005년 01월 개인택배 집하관리 벌과금확정" xfId="529" xr:uid="{00000000-0005-0000-0000-000009020000}"/>
    <cellStyle name="Ç¥ÁØ_Áý°èÇ¥(2¿ù) _0109월수_2005년 01월 개인택배 집하관리 벌과금확정" xfId="530" xr:uid="{00000000-0005-0000-0000-00000A020000}"/>
    <cellStyle name="C￥AØ_Ay°eC￥(2¿u) _0109월수_2005년 1.4 분기 개인택배 실적우수점소 포상관련 품의 (050414)" xfId="531" xr:uid="{00000000-0005-0000-0000-00000B020000}"/>
    <cellStyle name="Ç¥ÁØ_Áý°èÇ¥(2¿ù) _0109월수_2005년 1.4 분기 개인택배 실적우수점소 포상관련 품의 (050414)" xfId="532" xr:uid="{00000000-0005-0000-0000-00000C020000}"/>
    <cellStyle name="C￥AØ_Ay°eC￥(2¿u) _0109월수_7월선급금" xfId="533" xr:uid="{00000000-0005-0000-0000-00000D020000}"/>
    <cellStyle name="Ç¥ÁØ_Áý°èÇ¥(2¿ù) _0109월수_7월선급금" xfId="534" xr:uid="{00000000-0005-0000-0000-00000E020000}"/>
    <cellStyle name="C￥AØ_Ay°eC￥(2¿u) _0109월수_TEST" xfId="535" xr:uid="{00000000-0005-0000-0000-00000F020000}"/>
    <cellStyle name="Ç¥ÁØ_Áý°èÇ¥(2¿ù) _0109월수_TEST" xfId="536" xr:uid="{00000000-0005-0000-0000-000010020000}"/>
    <cellStyle name="C￥AØ_Ay°eC￥(2¿u) _0109월수_경비6~1" xfId="537" xr:uid="{00000000-0005-0000-0000-000011020000}"/>
    <cellStyle name="Ç¥ÁØ_Áý°èÇ¥(2¿ù) _0109월수_경비6~1" xfId="538" xr:uid="{00000000-0005-0000-0000-000012020000}"/>
    <cellStyle name="C￥AØ_Ay°eC￥(2¿u) _0109월수_경비6~1_천안셔틀타임테이블거리(20021015)" xfId="539" xr:uid="{00000000-0005-0000-0000-000013020000}"/>
    <cellStyle name="Ç¥ÁØ_Áý°èÇ¥(2¿ù) _0109월수_경비6~1_천안셔틀타임테이블거리(20021015)" xfId="540" xr:uid="{00000000-0005-0000-0000-000014020000}"/>
    <cellStyle name="C￥AØ_Ay°eC￥(2¿u) _0109월수_경비7~1" xfId="541" xr:uid="{00000000-0005-0000-0000-000015020000}"/>
    <cellStyle name="Ç¥ÁØ_Áý°èÇ¥(2¿ù) _0109월수_경비7~1" xfId="542" xr:uid="{00000000-0005-0000-0000-000016020000}"/>
    <cellStyle name="C￥AØ_Ay°eC￥(2¿u) _0109월수_경비7~1_천안셔틀타임테이블거리(20021015)" xfId="543" xr:uid="{00000000-0005-0000-0000-000017020000}"/>
    <cellStyle name="Ç¥ÁØ_Áý°èÇ¥(2¿ù) _0109월수_경비7~1_천안셔틀타임테이블거리(20021015)" xfId="544" xr:uid="{00000000-0005-0000-0000-000018020000}"/>
    <cellStyle name="C￥AØ_Ay°eC￥(2¿u) _0109월수_운송경비" xfId="545" xr:uid="{00000000-0005-0000-0000-000019020000}"/>
    <cellStyle name="Ç¥ÁØ_Áý°èÇ¥(2¿ù) _0109월수_운송경비" xfId="546" xr:uid="{00000000-0005-0000-0000-00001A020000}"/>
    <cellStyle name="C￥AØ_Ay°eC￥(2¿u) _0109월수_천안셔틀타임테이블거리(20021015)" xfId="547" xr:uid="{00000000-0005-0000-0000-00001B020000}"/>
    <cellStyle name="Ç¥ÁØ_Áý°èÇ¥(2¿ù) _0109월수_천안셔틀타임테이블거리(20021015)" xfId="548" xr:uid="{00000000-0005-0000-0000-00001C020000}"/>
    <cellStyle name="C￥AØ_Ay°eC￥(2¿u) _0109월수_택마 2004-    취급점 활성화위한 집하관리 결과공지 건" xfId="549" xr:uid="{00000000-0005-0000-0000-00001D020000}"/>
    <cellStyle name="Ç¥ÁØ_Áý°èÇ¥(2¿ù) _0109월수_택마 2004-    취급점 활성화위한 집하관리 결과공지 건" xfId="550" xr:uid="{00000000-0005-0000-0000-00001E020000}"/>
    <cellStyle name="C￥AØ_Ay°eC￥(2¿u) _0109월수_택마 2004-263 개인택배 활성화위한 집하관리 결과공지 건" xfId="551" xr:uid="{00000000-0005-0000-0000-00001F020000}"/>
    <cellStyle name="Ç¥ÁØ_Áý°èÇ¥(2¿ù) _0109월수_택마 2004-263 개인택배 활성화위한 집하관리 결과공지 건" xfId="552" xr:uid="{00000000-0005-0000-0000-000020020000}"/>
    <cellStyle name="C￥AØ_Ay°eC￥(2¿u) _0109월수_택마 2005-191 추계5대 마라톤대회 유치관련 공문" xfId="553" xr:uid="{00000000-0005-0000-0000-000021020000}"/>
    <cellStyle name="Ç¥ÁØ_Áý°èÇ¥(2¿ù) _0109월수_택마 2005-191 추계5대 마라톤대회 유치관련 공문" xfId="554" xr:uid="{00000000-0005-0000-0000-000022020000}"/>
    <cellStyle name="C￥AØ_Ay°eC￥(2¿u) _강서" xfId="555" xr:uid="{00000000-0005-0000-0000-000023020000}"/>
    <cellStyle name="Ç¥ÁØ_Áý°èÇ¥(2¿ù) _강서" xfId="556" xr:uid="{00000000-0005-0000-0000-000024020000}"/>
    <cellStyle name="C￥AØ_Ay°eC￥(2¿u) _강서_200208~1" xfId="557" xr:uid="{00000000-0005-0000-0000-000025020000}"/>
    <cellStyle name="Ç¥ÁØ_Áý°èÇ¥(2¿ù) _강서_200208~1" xfId="558" xr:uid="{00000000-0005-0000-0000-000026020000}"/>
    <cellStyle name="C￥AØ_Ay°eC￥(2¿u) _강서_200209~1" xfId="559" xr:uid="{00000000-0005-0000-0000-000027020000}"/>
    <cellStyle name="Ç¥ÁØ_Áý°èÇ¥(2¿ù) _강서_200209~1" xfId="560" xr:uid="{00000000-0005-0000-0000-000028020000}"/>
    <cellStyle name="C￥AØ_Ay°eC￥(2¿u) _강서_2004.10.27 대형취급점 접수변경 및 집하지침 안내 (택업 2004-396)" xfId="561" xr:uid="{00000000-0005-0000-0000-000029020000}"/>
    <cellStyle name="Ç¥ÁØ_Áý°èÇ¥(2¿ù) _강서_2004.10.27 대형취급점 접수변경 및 집하지침 안내 (택업 2004-396)" xfId="562" xr:uid="{00000000-0005-0000-0000-00002A020000}"/>
    <cellStyle name="C￥AØ_Ay°eC￥(2¿u) _강서_2005.05  MBC ESPN 인라인마라톤 품의" xfId="563" xr:uid="{00000000-0005-0000-0000-00002B020000}"/>
    <cellStyle name="Ç¥ÁØ_Áý°èÇ¥(2¿ù) _강서_2005.05  MBC ESPN 인라인마라톤 품의" xfId="564" xr:uid="{00000000-0005-0000-0000-00002C020000}"/>
    <cellStyle name="C￥AØ_Ay°eC￥(2¿u) _강서_2005년 01월 개인택배 집하관리 벌과금확정" xfId="565" xr:uid="{00000000-0005-0000-0000-00002D020000}"/>
    <cellStyle name="Ç¥ÁØ_Áý°èÇ¥(2¿ù) _강서_2005년 01월 개인택배 집하관리 벌과금확정" xfId="566" xr:uid="{00000000-0005-0000-0000-00002E020000}"/>
    <cellStyle name="C￥AØ_Ay°eC￥(2¿u) _강서_2005년 1.4 분기 개인택배 실적우수점소 포상관련 품의 (050414)" xfId="567" xr:uid="{00000000-0005-0000-0000-00002F020000}"/>
    <cellStyle name="Ç¥ÁØ_Áý°èÇ¥(2¿ù) _강서_2005년 1.4 분기 개인택배 실적우수점소 포상관련 품의 (050414)" xfId="568" xr:uid="{00000000-0005-0000-0000-000030020000}"/>
    <cellStyle name="C￥AØ_Ay°eC￥(2¿u) _강서_7월선급금" xfId="569" xr:uid="{00000000-0005-0000-0000-000031020000}"/>
    <cellStyle name="Ç¥ÁØ_Áý°èÇ¥(2¿ù) _강서_7월선급금" xfId="570" xr:uid="{00000000-0005-0000-0000-000032020000}"/>
    <cellStyle name="C￥AØ_Ay°eC￥(2¿u) _강서_TEST" xfId="571" xr:uid="{00000000-0005-0000-0000-000033020000}"/>
    <cellStyle name="Ç¥ÁØ_Áý°èÇ¥(2¿ù) _강서_TEST" xfId="572" xr:uid="{00000000-0005-0000-0000-000034020000}"/>
    <cellStyle name="C￥AØ_Ay°eC￥(2¿u) _강서_경비6~1" xfId="573" xr:uid="{00000000-0005-0000-0000-000035020000}"/>
    <cellStyle name="Ç¥ÁØ_Áý°èÇ¥(2¿ù) _강서_경비6~1" xfId="574" xr:uid="{00000000-0005-0000-0000-000036020000}"/>
    <cellStyle name="C￥AØ_Ay°eC￥(2¿u) _강서_경비6~1_천안셔틀타임테이블거리(20021015)" xfId="575" xr:uid="{00000000-0005-0000-0000-000037020000}"/>
    <cellStyle name="Ç¥ÁØ_Áý°èÇ¥(2¿ù) _강서_경비6~1_천안셔틀타임테이블거리(20021015)" xfId="576" xr:uid="{00000000-0005-0000-0000-000038020000}"/>
    <cellStyle name="C￥AØ_Ay°eC￥(2¿u) _강서_경비7~1" xfId="577" xr:uid="{00000000-0005-0000-0000-000039020000}"/>
    <cellStyle name="Ç¥ÁØ_Áý°èÇ¥(2¿ù) _강서_경비7~1" xfId="578" xr:uid="{00000000-0005-0000-0000-00003A020000}"/>
    <cellStyle name="C￥AØ_Ay°eC￥(2¿u) _강서_경비7~1_천안셔틀타임테이블거리(20021015)" xfId="579" xr:uid="{00000000-0005-0000-0000-00003B020000}"/>
    <cellStyle name="Ç¥ÁØ_Áý°èÇ¥(2¿ù) _강서_경비7~1_천안셔틀타임테이블거리(20021015)" xfId="580" xr:uid="{00000000-0005-0000-0000-00003C020000}"/>
    <cellStyle name="C￥AØ_Ay°eC￥(2¿u) _강서_운송경비" xfId="581" xr:uid="{00000000-0005-0000-0000-00003D020000}"/>
    <cellStyle name="Ç¥ÁØ_Áý°èÇ¥(2¿ù) _강서_운송경비" xfId="582" xr:uid="{00000000-0005-0000-0000-00003E020000}"/>
    <cellStyle name="C￥AØ_Ay°eC￥(2¿u) _강서_천안셔틀타임테이블거리(20021015)" xfId="583" xr:uid="{00000000-0005-0000-0000-00003F020000}"/>
    <cellStyle name="Ç¥ÁØ_Áý°èÇ¥(2¿ù) _강서_천안셔틀타임테이블거리(20021015)" xfId="584" xr:uid="{00000000-0005-0000-0000-000040020000}"/>
    <cellStyle name="C￥AØ_Ay°eC￥(2¿u) _강서_택마 2004-    취급점 활성화위한 집하관리 결과공지 건" xfId="585" xr:uid="{00000000-0005-0000-0000-000041020000}"/>
    <cellStyle name="Ç¥ÁØ_Áý°èÇ¥(2¿ù) _강서_택마 2004-    취급점 활성화위한 집하관리 결과공지 건" xfId="586" xr:uid="{00000000-0005-0000-0000-000042020000}"/>
    <cellStyle name="C￥AØ_Ay°eC￥(2¿u) _강서_택마 2004-263 개인택배 활성화위한 집하관리 결과공지 건" xfId="587" xr:uid="{00000000-0005-0000-0000-000043020000}"/>
    <cellStyle name="Ç¥ÁØ_Áý°èÇ¥(2¿ù) _강서_택마 2004-263 개인택배 활성화위한 집하관리 결과공지 건" xfId="588" xr:uid="{00000000-0005-0000-0000-000044020000}"/>
    <cellStyle name="C￥AØ_Ay°eC￥(2¿u) _강서_택마 2005-191 추계5대 마라톤대회 유치관련 공문" xfId="589" xr:uid="{00000000-0005-0000-0000-000045020000}"/>
    <cellStyle name="Ç¥ÁØ_Áý°èÇ¥(2¿ù) _강서_택마 2005-191 추계5대 마라톤대회 유치관련 공문" xfId="590" xr:uid="{00000000-0005-0000-0000-000046020000}"/>
    <cellStyle name="C￥AØ_Ay°eC￥(2¿u) _수도8월" xfId="591" xr:uid="{00000000-0005-0000-0000-000047020000}"/>
    <cellStyle name="Ç¥ÁØ_Áý°èÇ¥(2¿ù) _수도8월" xfId="592" xr:uid="{00000000-0005-0000-0000-000048020000}"/>
    <cellStyle name="C￥AØ_Ay°eC￥(2¿u) _수도8월_200208~1" xfId="593" xr:uid="{00000000-0005-0000-0000-000049020000}"/>
    <cellStyle name="Ç¥ÁØ_Áý°èÇ¥(2¿ù) _수도8월_200208~1" xfId="594" xr:uid="{00000000-0005-0000-0000-00004A020000}"/>
    <cellStyle name="C￥AØ_Ay°eC￥(2¿u) _수도8월_200209~1" xfId="595" xr:uid="{00000000-0005-0000-0000-00004B020000}"/>
    <cellStyle name="Ç¥ÁØ_Áý°èÇ¥(2¿ù) _수도8월_200209~1" xfId="596" xr:uid="{00000000-0005-0000-0000-00004C020000}"/>
    <cellStyle name="C￥AØ_Ay°eC￥(2¿u) _수도8월_2004.10.27 대형취급점 접수변경 및 집하지침 안내 (택업 2004-396)" xfId="597" xr:uid="{00000000-0005-0000-0000-00004D020000}"/>
    <cellStyle name="Ç¥ÁØ_Áý°èÇ¥(2¿ù) _수도8월_2004.10.27 대형취급점 접수변경 및 집하지침 안내 (택업 2004-396)" xfId="598" xr:uid="{00000000-0005-0000-0000-00004E020000}"/>
    <cellStyle name="C￥AØ_Ay°eC￥(2¿u) _수도8월_2005.05  MBC ESPN 인라인마라톤 품의" xfId="599" xr:uid="{00000000-0005-0000-0000-00004F020000}"/>
    <cellStyle name="Ç¥ÁØ_Áý°èÇ¥(2¿ù) _수도8월_2005.05  MBC ESPN 인라인마라톤 품의" xfId="600" xr:uid="{00000000-0005-0000-0000-000050020000}"/>
    <cellStyle name="C￥AØ_Ay°eC￥(2¿u) _수도8월_2005년 01월 개인택배 집하관리 벌과금확정" xfId="601" xr:uid="{00000000-0005-0000-0000-000051020000}"/>
    <cellStyle name="Ç¥ÁØ_Áý°èÇ¥(2¿ù) _수도8월_2005년 01월 개인택배 집하관리 벌과금확정" xfId="602" xr:uid="{00000000-0005-0000-0000-000052020000}"/>
    <cellStyle name="C￥AØ_Ay°eC￥(2¿u) _수도8월_2005년 1.4 분기 개인택배 실적우수점소 포상관련 품의 (050414)" xfId="603" xr:uid="{00000000-0005-0000-0000-000053020000}"/>
    <cellStyle name="Ç¥ÁØ_Áý°èÇ¥(2¿ù) _수도8월_2005년 1.4 분기 개인택배 실적우수점소 포상관련 품의 (050414)" xfId="604" xr:uid="{00000000-0005-0000-0000-000054020000}"/>
    <cellStyle name="C￥AØ_Ay°eC￥(2¿u) _수도8월_7월선급금" xfId="605" xr:uid="{00000000-0005-0000-0000-000055020000}"/>
    <cellStyle name="Ç¥ÁØ_Áý°èÇ¥(2¿ù) _수도8월_7월선급금" xfId="606" xr:uid="{00000000-0005-0000-0000-000056020000}"/>
    <cellStyle name="C￥AØ_Ay°eC￥(2¿u) _수도8월_TEST" xfId="607" xr:uid="{00000000-0005-0000-0000-000057020000}"/>
    <cellStyle name="Ç¥ÁØ_Áý°èÇ¥(2¿ù) _수도8월_TEST" xfId="608" xr:uid="{00000000-0005-0000-0000-000058020000}"/>
    <cellStyle name="C￥AØ_Ay°eC￥(2¿u) _수도8월_경비6~1" xfId="609" xr:uid="{00000000-0005-0000-0000-000059020000}"/>
    <cellStyle name="Ç¥ÁØ_Áý°èÇ¥(2¿ù) _수도8월_경비6~1" xfId="610" xr:uid="{00000000-0005-0000-0000-00005A020000}"/>
    <cellStyle name="C￥AØ_Ay°eC￥(2¿u) _수도8월_경비6~1_천안셔틀타임테이블거리(20021015)" xfId="611" xr:uid="{00000000-0005-0000-0000-00005B020000}"/>
    <cellStyle name="Ç¥ÁØ_Áý°èÇ¥(2¿ù) _수도8월_경비6~1_천안셔틀타임테이블거리(20021015)" xfId="612" xr:uid="{00000000-0005-0000-0000-00005C020000}"/>
    <cellStyle name="C￥AØ_Ay°eC￥(2¿u) _수도8월_경비7~1" xfId="613" xr:uid="{00000000-0005-0000-0000-00005D020000}"/>
    <cellStyle name="Ç¥ÁØ_Áý°èÇ¥(2¿ù) _수도8월_경비7~1" xfId="614" xr:uid="{00000000-0005-0000-0000-00005E020000}"/>
    <cellStyle name="C￥AØ_Ay°eC￥(2¿u) _수도8월_경비7~1_천안셔틀타임테이블거리(20021015)" xfId="615" xr:uid="{00000000-0005-0000-0000-00005F020000}"/>
    <cellStyle name="Ç¥ÁØ_Áý°èÇ¥(2¿ù) _수도8월_경비7~1_천안셔틀타임테이블거리(20021015)" xfId="616" xr:uid="{00000000-0005-0000-0000-000060020000}"/>
    <cellStyle name="C￥AØ_Ay°eC￥(2¿u) _수도8월_운송경비" xfId="617" xr:uid="{00000000-0005-0000-0000-000061020000}"/>
    <cellStyle name="Ç¥ÁØ_Áý°èÇ¥(2¿ù) _수도8월_운송경비" xfId="618" xr:uid="{00000000-0005-0000-0000-000062020000}"/>
    <cellStyle name="C￥AØ_Ay°eC￥(2¿u) _수도8월_천안셔틀타임테이블거리(20021015)" xfId="619" xr:uid="{00000000-0005-0000-0000-000063020000}"/>
    <cellStyle name="Ç¥ÁØ_Áý°èÇ¥(2¿ù) _수도8월_천안셔틀타임테이블거리(20021015)" xfId="620" xr:uid="{00000000-0005-0000-0000-000064020000}"/>
    <cellStyle name="C￥AØ_Ay°eC￥(2¿u) _수도8월_택마 2004-    취급점 활성화위한 집하관리 결과공지 건" xfId="621" xr:uid="{00000000-0005-0000-0000-000065020000}"/>
    <cellStyle name="Ç¥ÁØ_Áý°èÇ¥(2¿ù) _수도8월_택마 2004-    취급점 활성화위한 집하관리 결과공지 건" xfId="622" xr:uid="{00000000-0005-0000-0000-000066020000}"/>
    <cellStyle name="C￥AØ_Ay°eC￥(2¿u) _수도8월_택마 2004-263 개인택배 활성화위한 집하관리 결과공지 건" xfId="623" xr:uid="{00000000-0005-0000-0000-000067020000}"/>
    <cellStyle name="Ç¥ÁØ_Áý°èÇ¥(2¿ù) _수도8월_택마 2004-263 개인택배 활성화위한 집하관리 결과공지 건" xfId="624" xr:uid="{00000000-0005-0000-0000-000068020000}"/>
    <cellStyle name="C￥AØ_Ay°eC￥(2¿u) _수도8월_택마 2005-191 추계5대 마라톤대회 유치관련 공문" xfId="625" xr:uid="{00000000-0005-0000-0000-000069020000}"/>
    <cellStyle name="Ç¥ÁØ_Áý°èÇ¥(2¿ù) _수도8월_택마 2005-191 추계5대 마라톤대회 유치관련 공문" xfId="626" xr:uid="{00000000-0005-0000-0000-00006A020000}"/>
    <cellStyle name="C￥AØ_Ay°eC￥(2¿u) _수도보~3" xfId="627" xr:uid="{00000000-0005-0000-0000-00006B020000}"/>
    <cellStyle name="Ç¥ÁØ_Áý°èÇ¥(2¿ù) _수도보~3" xfId="628" xr:uid="{00000000-0005-0000-0000-00006C020000}"/>
    <cellStyle name="C￥AØ_Ay°eC￥(2¿u) _수도보~3_200208~1" xfId="629" xr:uid="{00000000-0005-0000-0000-00006D020000}"/>
    <cellStyle name="Ç¥ÁØ_Áý°èÇ¥(2¿ù) _수도보~3_200208~1" xfId="630" xr:uid="{00000000-0005-0000-0000-00006E020000}"/>
    <cellStyle name="C￥AØ_Ay°eC￥(2¿u) _수도보~3_200209~1" xfId="631" xr:uid="{00000000-0005-0000-0000-00006F020000}"/>
    <cellStyle name="Ç¥ÁØ_Áý°èÇ¥(2¿ù) _수도보~3_200209~1" xfId="632" xr:uid="{00000000-0005-0000-0000-000070020000}"/>
    <cellStyle name="C￥AØ_Ay°eC￥(2¿u) _수도보~3_2004.10.27 대형취급점 접수변경 및 집하지침 안내 (택업 2004-396)" xfId="633" xr:uid="{00000000-0005-0000-0000-000071020000}"/>
    <cellStyle name="Ç¥ÁØ_Áý°èÇ¥(2¿ù) _수도보~3_2004.10.27 대형취급점 접수변경 및 집하지침 안내 (택업 2004-396)" xfId="634" xr:uid="{00000000-0005-0000-0000-000072020000}"/>
    <cellStyle name="C￥AØ_Ay°eC￥(2¿u) _수도보~3_2005.05  MBC ESPN 인라인마라톤 품의" xfId="635" xr:uid="{00000000-0005-0000-0000-000073020000}"/>
    <cellStyle name="Ç¥ÁØ_Áý°èÇ¥(2¿ù) _수도보~3_2005.05  MBC ESPN 인라인마라톤 품의" xfId="636" xr:uid="{00000000-0005-0000-0000-000074020000}"/>
    <cellStyle name="C￥AØ_Ay°eC￥(2¿u) _수도보~3_2005년 01월 개인택배 집하관리 벌과금확정" xfId="637" xr:uid="{00000000-0005-0000-0000-000075020000}"/>
    <cellStyle name="Ç¥ÁØ_Áý°èÇ¥(2¿ù) _수도보~3_2005년 01월 개인택배 집하관리 벌과금확정" xfId="638" xr:uid="{00000000-0005-0000-0000-000076020000}"/>
    <cellStyle name="C￥AØ_Ay°eC￥(2¿u) _수도보~3_2005년 1.4 분기 개인택배 실적우수점소 포상관련 품의 (050414)" xfId="639" xr:uid="{00000000-0005-0000-0000-000077020000}"/>
    <cellStyle name="Ç¥ÁØ_Áý°èÇ¥(2¿ù) _수도보~3_2005년 1.4 분기 개인택배 실적우수점소 포상관련 품의 (050414)" xfId="640" xr:uid="{00000000-0005-0000-0000-000078020000}"/>
    <cellStyle name="C￥AØ_Ay°eC￥(2¿u) _수도보~3_7월선급금" xfId="641" xr:uid="{00000000-0005-0000-0000-000079020000}"/>
    <cellStyle name="Ç¥ÁØ_Áý°èÇ¥(2¿ù) _수도보~3_7월선급금" xfId="642" xr:uid="{00000000-0005-0000-0000-00007A020000}"/>
    <cellStyle name="C￥AØ_Ay°eC￥(2¿u) _수도보~3_TEST" xfId="643" xr:uid="{00000000-0005-0000-0000-00007B020000}"/>
    <cellStyle name="Ç¥ÁØ_Áý°èÇ¥(2¿ù) _수도보~3_TEST" xfId="644" xr:uid="{00000000-0005-0000-0000-00007C020000}"/>
    <cellStyle name="C￥AØ_Ay°eC￥(2¿u) _수도보~3_경비6~1" xfId="645" xr:uid="{00000000-0005-0000-0000-00007D020000}"/>
    <cellStyle name="Ç¥ÁØ_Áý°èÇ¥(2¿ù) _수도보~3_경비6~1" xfId="646" xr:uid="{00000000-0005-0000-0000-00007E020000}"/>
    <cellStyle name="C￥AØ_Ay°eC￥(2¿u) _수도보~3_경비6~1_천안셔틀타임테이블거리(20021015)" xfId="647" xr:uid="{00000000-0005-0000-0000-00007F020000}"/>
    <cellStyle name="Ç¥ÁØ_Áý°èÇ¥(2¿ù) _수도보~3_경비6~1_천안셔틀타임테이블거리(20021015)" xfId="648" xr:uid="{00000000-0005-0000-0000-000080020000}"/>
    <cellStyle name="C￥AØ_Ay°eC￥(2¿u) _수도보~3_경비7~1" xfId="649" xr:uid="{00000000-0005-0000-0000-000081020000}"/>
    <cellStyle name="Ç¥ÁØ_Áý°èÇ¥(2¿ù) _수도보~3_경비7~1" xfId="650" xr:uid="{00000000-0005-0000-0000-000082020000}"/>
    <cellStyle name="C￥AØ_Ay°eC￥(2¿u) _수도보~3_경비7~1_천안셔틀타임테이블거리(20021015)" xfId="651" xr:uid="{00000000-0005-0000-0000-000083020000}"/>
    <cellStyle name="Ç¥ÁØ_Áý°èÇ¥(2¿ù) _수도보~3_경비7~1_천안셔틀타임테이블거리(20021015)" xfId="652" xr:uid="{00000000-0005-0000-0000-000084020000}"/>
    <cellStyle name="C￥AØ_Ay°eC￥(2¿u) _수도보~3_운송경비" xfId="653" xr:uid="{00000000-0005-0000-0000-000085020000}"/>
    <cellStyle name="Ç¥ÁØ_Áý°èÇ¥(2¿ù) _수도보~3_운송경비" xfId="654" xr:uid="{00000000-0005-0000-0000-000086020000}"/>
    <cellStyle name="C￥AØ_Ay°eC￥(2¿u) _수도보~3_천안셔틀타임테이블거리(20021015)" xfId="655" xr:uid="{00000000-0005-0000-0000-000087020000}"/>
    <cellStyle name="Ç¥ÁØ_Áý°èÇ¥(2¿ù) _수도보~3_천안셔틀타임테이블거리(20021015)" xfId="656" xr:uid="{00000000-0005-0000-0000-000088020000}"/>
    <cellStyle name="C￥AØ_Ay°eC￥(2¿u) _수도보~3_택마 2004-    취급점 활성화위한 집하관리 결과공지 건" xfId="657" xr:uid="{00000000-0005-0000-0000-000089020000}"/>
    <cellStyle name="Ç¥ÁØ_Áý°èÇ¥(2¿ù) _수도보~3_택마 2004-    취급점 활성화위한 집하관리 결과공지 건" xfId="658" xr:uid="{00000000-0005-0000-0000-00008A020000}"/>
    <cellStyle name="C￥AØ_Ay°eC￥(2¿u) _수도보~3_택마 2004-263 개인택배 활성화위한 집하관리 결과공지 건" xfId="659" xr:uid="{00000000-0005-0000-0000-00008B020000}"/>
    <cellStyle name="Ç¥ÁØ_Áý°èÇ¥(2¿ù) _수도보~3_택마 2004-263 개인택배 활성화위한 집하관리 결과공지 건" xfId="660" xr:uid="{00000000-0005-0000-0000-00008C020000}"/>
    <cellStyle name="C￥AØ_Ay°eC￥(2¿u) _수도보~3_택마 2005-191 추계5대 마라톤대회 유치관련 공문" xfId="661" xr:uid="{00000000-0005-0000-0000-00008D020000}"/>
    <cellStyle name="Ç¥ÁØ_Áý°èÇ¥(2¿ù) _수도보~3_택마 2005-191 추계5대 마라톤대회 유치관련 공문" xfId="662" xr:uid="{00000000-0005-0000-0000-00008E020000}"/>
    <cellStyle name="C￥AØ_Ay°eC￥(2¿u) _수도보~4" xfId="663" xr:uid="{00000000-0005-0000-0000-00008F020000}"/>
    <cellStyle name="Ç¥ÁØ_Áý°èÇ¥(2¿ù) _수도보~4" xfId="664" xr:uid="{00000000-0005-0000-0000-000090020000}"/>
    <cellStyle name="C￥AØ_Ay°eC￥(2¿u) _수도보~4_200208~1" xfId="665" xr:uid="{00000000-0005-0000-0000-000091020000}"/>
    <cellStyle name="Ç¥ÁØ_Áý°èÇ¥(2¿ù) _수도보~4_200208~1" xfId="666" xr:uid="{00000000-0005-0000-0000-000092020000}"/>
    <cellStyle name="C￥AØ_Ay°eC￥(2¿u) _수도보~4_200209~1" xfId="667" xr:uid="{00000000-0005-0000-0000-000093020000}"/>
    <cellStyle name="Ç¥ÁØ_Áý°èÇ¥(2¿ù) _수도보~4_200209~1" xfId="668" xr:uid="{00000000-0005-0000-0000-000094020000}"/>
    <cellStyle name="C￥AØ_Ay°eC￥(2¿u) _수도보~4_2004.10.27 대형취급점 접수변경 및 집하지침 안내 (택업 2004-396)" xfId="669" xr:uid="{00000000-0005-0000-0000-000095020000}"/>
    <cellStyle name="Ç¥ÁØ_Áý°èÇ¥(2¿ù) _수도보~4_2004.10.27 대형취급점 접수변경 및 집하지침 안내 (택업 2004-396)" xfId="670" xr:uid="{00000000-0005-0000-0000-000096020000}"/>
    <cellStyle name="C￥AØ_Ay°eC￥(2¿u) _수도보~4_2005.05  MBC ESPN 인라인마라톤 품의" xfId="671" xr:uid="{00000000-0005-0000-0000-000097020000}"/>
    <cellStyle name="Ç¥ÁØ_Áý°èÇ¥(2¿ù) _수도보~4_2005.05  MBC ESPN 인라인마라톤 품의" xfId="672" xr:uid="{00000000-0005-0000-0000-000098020000}"/>
    <cellStyle name="C￥AØ_Ay°eC￥(2¿u) _수도보~4_2005년 01월 개인택배 집하관리 벌과금확정" xfId="673" xr:uid="{00000000-0005-0000-0000-000099020000}"/>
    <cellStyle name="Ç¥ÁØ_Áý°èÇ¥(2¿ù) _수도보~4_2005년 01월 개인택배 집하관리 벌과금확정" xfId="674" xr:uid="{00000000-0005-0000-0000-00009A020000}"/>
    <cellStyle name="C￥AØ_Ay°eC￥(2¿u) _수도보~4_2005년 1.4 분기 개인택배 실적우수점소 포상관련 품의 (050414)" xfId="675" xr:uid="{00000000-0005-0000-0000-00009B020000}"/>
    <cellStyle name="Ç¥ÁØ_Áý°èÇ¥(2¿ù) _수도보~4_2005년 1.4 분기 개인택배 실적우수점소 포상관련 품의 (050414)" xfId="676" xr:uid="{00000000-0005-0000-0000-00009C020000}"/>
    <cellStyle name="C￥AØ_Ay°eC￥(2¿u) _수도보~4_7월선급금" xfId="677" xr:uid="{00000000-0005-0000-0000-00009D020000}"/>
    <cellStyle name="Ç¥ÁØ_Áý°èÇ¥(2¿ù) _수도보~4_7월선급금" xfId="678" xr:uid="{00000000-0005-0000-0000-00009E020000}"/>
    <cellStyle name="C￥AØ_Ay°eC￥(2¿u) _수도보~4_TEST" xfId="679" xr:uid="{00000000-0005-0000-0000-00009F020000}"/>
    <cellStyle name="Ç¥ÁØ_Áý°èÇ¥(2¿ù) _수도보~4_TEST" xfId="680" xr:uid="{00000000-0005-0000-0000-0000A0020000}"/>
    <cellStyle name="C￥AØ_Ay°eC￥(2¿u) _수도보~4_경비6~1" xfId="681" xr:uid="{00000000-0005-0000-0000-0000A1020000}"/>
    <cellStyle name="Ç¥ÁØ_Áý°èÇ¥(2¿ù) _수도보~4_경비6~1" xfId="682" xr:uid="{00000000-0005-0000-0000-0000A2020000}"/>
    <cellStyle name="C￥AØ_Ay°eC￥(2¿u) _수도보~4_경비6~1_천안셔틀타임테이블거리(20021015)" xfId="683" xr:uid="{00000000-0005-0000-0000-0000A3020000}"/>
    <cellStyle name="Ç¥ÁØ_Áý°èÇ¥(2¿ù) _수도보~4_경비6~1_천안셔틀타임테이블거리(20021015)" xfId="684" xr:uid="{00000000-0005-0000-0000-0000A4020000}"/>
    <cellStyle name="C￥AØ_Ay°eC￥(2¿u) _수도보~4_경비7~1" xfId="685" xr:uid="{00000000-0005-0000-0000-0000A5020000}"/>
    <cellStyle name="Ç¥ÁØ_Áý°èÇ¥(2¿ù) _수도보~4_경비7~1" xfId="686" xr:uid="{00000000-0005-0000-0000-0000A6020000}"/>
    <cellStyle name="C￥AØ_Ay°eC￥(2¿u) _수도보~4_경비7~1_천안셔틀타임테이블거리(20021015)" xfId="687" xr:uid="{00000000-0005-0000-0000-0000A7020000}"/>
    <cellStyle name="Ç¥ÁØ_Áý°èÇ¥(2¿ù) _수도보~4_경비7~1_천안셔틀타임테이블거리(20021015)" xfId="688" xr:uid="{00000000-0005-0000-0000-0000A8020000}"/>
    <cellStyle name="C￥AØ_Ay°eC￥(2¿u) _수도보~4_운송경비" xfId="689" xr:uid="{00000000-0005-0000-0000-0000A9020000}"/>
    <cellStyle name="Ç¥ÁØ_Áý°èÇ¥(2¿ù) _수도보~4_운송경비" xfId="690" xr:uid="{00000000-0005-0000-0000-0000AA020000}"/>
    <cellStyle name="C￥AØ_Ay°eC￥(2¿u) _수도보~4_천안셔틀타임테이블거리(20021015)" xfId="691" xr:uid="{00000000-0005-0000-0000-0000AB020000}"/>
    <cellStyle name="Ç¥ÁØ_Áý°èÇ¥(2¿ù) _수도보~4_천안셔틀타임테이블거리(20021015)" xfId="692" xr:uid="{00000000-0005-0000-0000-0000AC020000}"/>
    <cellStyle name="C￥AØ_Ay°eC￥(2¿u) _수도보~4_택마 2004-    취급점 활성화위한 집하관리 결과공지 건" xfId="693" xr:uid="{00000000-0005-0000-0000-0000AD020000}"/>
    <cellStyle name="Ç¥ÁØ_Áý°èÇ¥(2¿ù) _수도보~4_택마 2004-    취급점 활성화위한 집하관리 결과공지 건" xfId="694" xr:uid="{00000000-0005-0000-0000-0000AE020000}"/>
    <cellStyle name="C￥AØ_Ay°eC￥(2¿u) _수도보~4_택마 2004-263 개인택배 활성화위한 집하관리 결과공지 건" xfId="695" xr:uid="{00000000-0005-0000-0000-0000AF020000}"/>
    <cellStyle name="Ç¥ÁØ_Áý°èÇ¥(2¿ù) _수도보~4_택마 2004-263 개인택배 활성화위한 집하관리 결과공지 건" xfId="696" xr:uid="{00000000-0005-0000-0000-0000B0020000}"/>
    <cellStyle name="C￥AØ_Ay°eC￥(2¿u) _수도보~4_택마 2005-191 추계5대 마라톤대회 유치관련 공문" xfId="697" xr:uid="{00000000-0005-0000-0000-0000B1020000}"/>
    <cellStyle name="Ç¥ÁØ_Áý°èÇ¥(2¿ù) _수도보~4_택마 2005-191 추계5대 마라톤대회 유치관련 공문" xfId="698" xr:uid="{00000000-0005-0000-0000-0000B2020000}"/>
    <cellStyle name="C￥AØ_Ay°eC￥(2¿u) _수도보~6" xfId="699" xr:uid="{00000000-0005-0000-0000-0000B3020000}"/>
    <cellStyle name="Ç¥ÁØ_Áý°èÇ¥(2¿ù) _수도보~6" xfId="700" xr:uid="{00000000-0005-0000-0000-0000B4020000}"/>
    <cellStyle name="C￥AØ_Ay°eC￥(2¿u) _수도보~6_200208~1" xfId="701" xr:uid="{00000000-0005-0000-0000-0000B5020000}"/>
    <cellStyle name="Ç¥ÁØ_Áý°èÇ¥(2¿ù) _수도보~6_200208~1" xfId="702" xr:uid="{00000000-0005-0000-0000-0000B6020000}"/>
    <cellStyle name="C￥AØ_Ay°eC￥(2¿u) _수도보~6_200209~1" xfId="703" xr:uid="{00000000-0005-0000-0000-0000B7020000}"/>
    <cellStyle name="Ç¥ÁØ_Áý°èÇ¥(2¿ù) _수도보~6_200209~1" xfId="704" xr:uid="{00000000-0005-0000-0000-0000B8020000}"/>
    <cellStyle name="C￥AØ_Ay°eC￥(2¿u) _수도보~6_2004.10.27 대형취급점 접수변경 및 집하지침 안내 (택업 2004-396)" xfId="705" xr:uid="{00000000-0005-0000-0000-0000B9020000}"/>
    <cellStyle name="Ç¥ÁØ_Áý°èÇ¥(2¿ù) _수도보~6_2004.10.27 대형취급점 접수변경 및 집하지침 안내 (택업 2004-396)" xfId="706" xr:uid="{00000000-0005-0000-0000-0000BA020000}"/>
    <cellStyle name="C￥AØ_Ay°eC￥(2¿u) _수도보~6_2005.05  MBC ESPN 인라인마라톤 품의" xfId="707" xr:uid="{00000000-0005-0000-0000-0000BB020000}"/>
    <cellStyle name="Ç¥ÁØ_Áý°èÇ¥(2¿ù) _수도보~6_2005.05  MBC ESPN 인라인마라톤 품의" xfId="708" xr:uid="{00000000-0005-0000-0000-0000BC020000}"/>
    <cellStyle name="C￥AØ_Ay°eC￥(2¿u) _수도보~6_2005년 01월 개인택배 집하관리 벌과금확정" xfId="709" xr:uid="{00000000-0005-0000-0000-0000BD020000}"/>
    <cellStyle name="Ç¥ÁØ_Áý°èÇ¥(2¿ù) _수도보~6_2005년 01월 개인택배 집하관리 벌과금확정" xfId="710" xr:uid="{00000000-0005-0000-0000-0000BE020000}"/>
    <cellStyle name="C￥AØ_Ay°eC￥(2¿u) _수도보~6_2005년 1.4 분기 개인택배 실적우수점소 포상관련 품의 (050414)" xfId="711" xr:uid="{00000000-0005-0000-0000-0000BF020000}"/>
    <cellStyle name="Ç¥ÁØ_Áý°èÇ¥(2¿ù) _수도보~6_2005년 1.4 분기 개인택배 실적우수점소 포상관련 품의 (050414)" xfId="712" xr:uid="{00000000-0005-0000-0000-0000C0020000}"/>
    <cellStyle name="C￥AØ_Ay°eC￥(2¿u) _수도보~6_7월선급금" xfId="713" xr:uid="{00000000-0005-0000-0000-0000C1020000}"/>
    <cellStyle name="Ç¥ÁØ_Áý°èÇ¥(2¿ù) _수도보~6_7월선급금" xfId="714" xr:uid="{00000000-0005-0000-0000-0000C2020000}"/>
    <cellStyle name="C￥AØ_Ay°eC￥(2¿u) _수도보~6_TEST" xfId="715" xr:uid="{00000000-0005-0000-0000-0000C3020000}"/>
    <cellStyle name="Ç¥ÁØ_Áý°èÇ¥(2¿ù) _수도보~6_TEST" xfId="716" xr:uid="{00000000-0005-0000-0000-0000C4020000}"/>
    <cellStyle name="C￥AØ_Ay°eC￥(2¿u) _수도보~6_경비6~1" xfId="717" xr:uid="{00000000-0005-0000-0000-0000C5020000}"/>
    <cellStyle name="Ç¥ÁØ_Áý°èÇ¥(2¿ù) _수도보~6_경비6~1" xfId="718" xr:uid="{00000000-0005-0000-0000-0000C6020000}"/>
    <cellStyle name="C￥AØ_Ay°eC￥(2¿u) _수도보~6_경비6~1_천안셔틀타임테이블거리(20021015)" xfId="719" xr:uid="{00000000-0005-0000-0000-0000C7020000}"/>
    <cellStyle name="Ç¥ÁØ_Áý°èÇ¥(2¿ù) _수도보~6_경비6~1_천안셔틀타임테이블거리(20021015)" xfId="720" xr:uid="{00000000-0005-0000-0000-0000C8020000}"/>
    <cellStyle name="C￥AØ_Ay°eC￥(2¿u) _수도보~6_경비7~1" xfId="721" xr:uid="{00000000-0005-0000-0000-0000C9020000}"/>
    <cellStyle name="Ç¥ÁØ_Áý°èÇ¥(2¿ù) _수도보~6_경비7~1" xfId="722" xr:uid="{00000000-0005-0000-0000-0000CA020000}"/>
    <cellStyle name="C￥AØ_Ay°eC￥(2¿u) _수도보~6_경비7~1_천안셔틀타임테이블거리(20021015)" xfId="723" xr:uid="{00000000-0005-0000-0000-0000CB020000}"/>
    <cellStyle name="Ç¥ÁØ_Áý°èÇ¥(2¿ù) _수도보~6_경비7~1_천안셔틀타임테이블거리(20021015)" xfId="724" xr:uid="{00000000-0005-0000-0000-0000CC020000}"/>
    <cellStyle name="C￥AØ_Ay°eC￥(2¿u) _수도보~6_운송경비" xfId="725" xr:uid="{00000000-0005-0000-0000-0000CD020000}"/>
    <cellStyle name="Ç¥ÁØ_Áý°èÇ¥(2¿ù) _수도보~6_운송경비" xfId="726" xr:uid="{00000000-0005-0000-0000-0000CE020000}"/>
    <cellStyle name="C￥AØ_Ay°eC￥(2¿u) _수도보~6_천안셔틀타임테이블거리(20021015)" xfId="727" xr:uid="{00000000-0005-0000-0000-0000CF020000}"/>
    <cellStyle name="Ç¥ÁØ_Áý°èÇ¥(2¿ù) _수도보~6_천안셔틀타임테이블거리(20021015)" xfId="728" xr:uid="{00000000-0005-0000-0000-0000D0020000}"/>
    <cellStyle name="C￥AØ_Ay°eC￥(2¿u) _수도보~6_택마 2004-    취급점 활성화위한 집하관리 결과공지 건" xfId="729" xr:uid="{00000000-0005-0000-0000-0000D1020000}"/>
    <cellStyle name="Ç¥ÁØ_Áý°èÇ¥(2¿ù) _수도보~6_택마 2004-    취급점 활성화위한 집하관리 결과공지 건" xfId="730" xr:uid="{00000000-0005-0000-0000-0000D2020000}"/>
    <cellStyle name="C￥AØ_Ay°eC￥(2¿u) _수도보~6_택마 2004-263 개인택배 활성화위한 집하관리 결과공지 건" xfId="731" xr:uid="{00000000-0005-0000-0000-0000D3020000}"/>
    <cellStyle name="Ç¥ÁØ_Áý°èÇ¥(2¿ù) _수도보~6_택마 2004-263 개인택배 활성화위한 집하관리 결과공지 건" xfId="732" xr:uid="{00000000-0005-0000-0000-0000D4020000}"/>
    <cellStyle name="C￥AØ_Ay°eC￥(2¿u) _수도보~6_택마 2005-191 추계5대 마라톤대회 유치관련 공문" xfId="733" xr:uid="{00000000-0005-0000-0000-0000D5020000}"/>
    <cellStyle name="Ç¥ÁØ_Áý°èÇ¥(2¿ù) _수도보~6_택마 2005-191 추계5대 마라톤대회 유치관련 공문" xfId="734" xr:uid="{00000000-0005-0000-0000-0000D6020000}"/>
    <cellStyle name="C￥AØ_Ay°eC￥(2¿u) _월간~10" xfId="735" xr:uid="{00000000-0005-0000-0000-0000D7020000}"/>
    <cellStyle name="Ç¥ÁØ_Áý°èÇ¥(2¿ù) _월간~10" xfId="736" xr:uid="{00000000-0005-0000-0000-0000D8020000}"/>
    <cellStyle name="C￥AØ_Ay°eC￥(2¿u) _월간~10_200208~1" xfId="737" xr:uid="{00000000-0005-0000-0000-0000D9020000}"/>
    <cellStyle name="Ç¥ÁØ_Áý°èÇ¥(2¿ù) _월간~10_200208~1" xfId="738" xr:uid="{00000000-0005-0000-0000-0000DA020000}"/>
    <cellStyle name="C￥AØ_Ay°eC￥(2¿u) _월간~10_200209~1" xfId="739" xr:uid="{00000000-0005-0000-0000-0000DB020000}"/>
    <cellStyle name="Ç¥ÁØ_Áý°èÇ¥(2¿ù) _월간~10_200209~1" xfId="740" xr:uid="{00000000-0005-0000-0000-0000DC020000}"/>
    <cellStyle name="C￥AØ_Ay°eC￥(2¿u) _월간~10_2004.10.27 대형취급점 접수변경 및 집하지침 안내 (택업 2004-396)" xfId="741" xr:uid="{00000000-0005-0000-0000-0000DD020000}"/>
    <cellStyle name="Ç¥ÁØ_Áý°èÇ¥(2¿ù) _월간~10_2004.10.27 대형취급점 접수변경 및 집하지침 안내 (택업 2004-396)" xfId="742" xr:uid="{00000000-0005-0000-0000-0000DE020000}"/>
    <cellStyle name="C￥AØ_Ay°eC￥(2¿u) _월간~10_2005.05  MBC ESPN 인라인마라톤 품의" xfId="743" xr:uid="{00000000-0005-0000-0000-0000DF020000}"/>
    <cellStyle name="Ç¥ÁØ_Áý°èÇ¥(2¿ù) _월간~10_2005.05  MBC ESPN 인라인마라톤 품의" xfId="744" xr:uid="{00000000-0005-0000-0000-0000E0020000}"/>
    <cellStyle name="C￥AØ_Ay°eC￥(2¿u) _월간~10_2005년 01월 개인택배 집하관리 벌과금확정" xfId="745" xr:uid="{00000000-0005-0000-0000-0000E1020000}"/>
    <cellStyle name="Ç¥ÁØ_Áý°èÇ¥(2¿ù) _월간~10_2005년 01월 개인택배 집하관리 벌과금확정" xfId="746" xr:uid="{00000000-0005-0000-0000-0000E2020000}"/>
    <cellStyle name="C￥AØ_Ay°eC￥(2¿u) _월간~10_2005년 1.4 분기 개인택배 실적우수점소 포상관련 품의 (050414)" xfId="747" xr:uid="{00000000-0005-0000-0000-0000E3020000}"/>
    <cellStyle name="Ç¥ÁØ_Áý°èÇ¥(2¿ù) _월간~10_2005년 1.4 분기 개인택배 실적우수점소 포상관련 품의 (050414)" xfId="748" xr:uid="{00000000-0005-0000-0000-0000E4020000}"/>
    <cellStyle name="C￥AØ_Ay°eC￥(2¿u) _월간~10_7월선급금" xfId="749" xr:uid="{00000000-0005-0000-0000-0000E5020000}"/>
    <cellStyle name="Ç¥ÁØ_Áý°èÇ¥(2¿ù) _월간~10_7월선급금" xfId="750" xr:uid="{00000000-0005-0000-0000-0000E6020000}"/>
    <cellStyle name="C￥AØ_Ay°eC￥(2¿u) _월간~10_TEST" xfId="751" xr:uid="{00000000-0005-0000-0000-0000E7020000}"/>
    <cellStyle name="Ç¥ÁØ_Áý°èÇ¥(2¿ù) _월간~10_TEST" xfId="752" xr:uid="{00000000-0005-0000-0000-0000E8020000}"/>
    <cellStyle name="C￥AØ_Ay°eC￥(2¿u) _월간~10_경비6~1" xfId="753" xr:uid="{00000000-0005-0000-0000-0000E9020000}"/>
    <cellStyle name="Ç¥ÁØ_Áý°èÇ¥(2¿ù) _월간~10_경비6~1" xfId="754" xr:uid="{00000000-0005-0000-0000-0000EA020000}"/>
    <cellStyle name="C￥AØ_Ay°eC￥(2¿u) _월간~10_경비6~1_천안셔틀타임테이블거리(20021015)" xfId="755" xr:uid="{00000000-0005-0000-0000-0000EB020000}"/>
    <cellStyle name="Ç¥ÁØ_Áý°èÇ¥(2¿ù) _월간~10_경비6~1_천안셔틀타임테이블거리(20021015)" xfId="756" xr:uid="{00000000-0005-0000-0000-0000EC020000}"/>
    <cellStyle name="C￥AØ_Ay°eC￥(2¿u) _월간~10_경비7~1" xfId="757" xr:uid="{00000000-0005-0000-0000-0000ED020000}"/>
    <cellStyle name="Ç¥ÁØ_Áý°èÇ¥(2¿ù) _월간~10_경비7~1" xfId="758" xr:uid="{00000000-0005-0000-0000-0000EE020000}"/>
    <cellStyle name="C￥AØ_Ay°eC￥(2¿u) _월간~10_경비7~1_천안셔틀타임테이블거리(20021015)" xfId="759" xr:uid="{00000000-0005-0000-0000-0000EF020000}"/>
    <cellStyle name="Ç¥ÁØ_Áý°èÇ¥(2¿ù) _월간~10_경비7~1_천안셔틀타임테이블거리(20021015)" xfId="760" xr:uid="{00000000-0005-0000-0000-0000F0020000}"/>
    <cellStyle name="C￥AØ_Ay°eC￥(2¿u) _월간~10_운송경비" xfId="761" xr:uid="{00000000-0005-0000-0000-0000F1020000}"/>
    <cellStyle name="Ç¥ÁØ_Áý°èÇ¥(2¿ù) _월간~10_운송경비" xfId="762" xr:uid="{00000000-0005-0000-0000-0000F2020000}"/>
    <cellStyle name="C￥AØ_Ay°eC￥(2¿u) _월간~10_천안셔틀타임테이블거리(20021015)" xfId="763" xr:uid="{00000000-0005-0000-0000-0000F3020000}"/>
    <cellStyle name="Ç¥ÁØ_Áý°èÇ¥(2¿ù) _월간~10_천안셔틀타임테이블거리(20021015)" xfId="764" xr:uid="{00000000-0005-0000-0000-0000F4020000}"/>
    <cellStyle name="C￥AØ_Ay°eC￥(2¿u) _월간~10_택마 2004-    취급점 활성화위한 집하관리 결과공지 건" xfId="765" xr:uid="{00000000-0005-0000-0000-0000F5020000}"/>
    <cellStyle name="Ç¥ÁØ_Áý°èÇ¥(2¿ù) _월간~10_택마 2004-    취급점 활성화위한 집하관리 결과공지 건" xfId="766" xr:uid="{00000000-0005-0000-0000-0000F6020000}"/>
    <cellStyle name="C￥AØ_Ay°eC￥(2¿u) _월간~10_택마 2004-263 개인택배 활성화위한 집하관리 결과공지 건" xfId="767" xr:uid="{00000000-0005-0000-0000-0000F7020000}"/>
    <cellStyle name="Ç¥ÁØ_Áý°èÇ¥(2¿ù) _월간~10_택마 2004-263 개인택배 활성화위한 집하관리 결과공지 건" xfId="768" xr:uid="{00000000-0005-0000-0000-0000F8020000}"/>
    <cellStyle name="C￥AØ_Ay°eC￥(2¿u) _월간~10_택마 2005-191 추계5대 마라톤대회 유치관련 공문" xfId="769" xr:uid="{00000000-0005-0000-0000-0000F9020000}"/>
    <cellStyle name="Ç¥ÁØ_Áý°èÇ¥(2¿ù) _월간~10_택마 2005-191 추계5대 마라톤대회 유치관련 공문" xfId="770" xr:uid="{00000000-0005-0000-0000-0000FA020000}"/>
    <cellStyle name="C￥AØ_Ay°eC￥(2¿u) _월간~11" xfId="771" xr:uid="{00000000-0005-0000-0000-0000FB020000}"/>
    <cellStyle name="Ç¥ÁØ_Áý°èÇ¥(2¿ù) _월간~11" xfId="772" xr:uid="{00000000-0005-0000-0000-0000FC020000}"/>
    <cellStyle name="C￥AØ_Ay°eC￥(2¿u) _월간~11_200208~1" xfId="773" xr:uid="{00000000-0005-0000-0000-0000FD020000}"/>
    <cellStyle name="Ç¥ÁØ_Áý°èÇ¥(2¿ù) _월간~11_200208~1" xfId="774" xr:uid="{00000000-0005-0000-0000-0000FE020000}"/>
    <cellStyle name="C￥AØ_Ay°eC￥(2¿u) _월간~11_200209~1" xfId="775" xr:uid="{00000000-0005-0000-0000-0000FF020000}"/>
    <cellStyle name="Ç¥ÁØ_Áý°èÇ¥(2¿ù) _월간~11_200209~1" xfId="776" xr:uid="{00000000-0005-0000-0000-000000030000}"/>
    <cellStyle name="C￥AØ_Ay°eC￥(2¿u) _월간~11_2004.10.27 대형취급점 접수변경 및 집하지침 안내 (택업 2004-396)" xfId="777" xr:uid="{00000000-0005-0000-0000-000001030000}"/>
    <cellStyle name="Ç¥ÁØ_Áý°èÇ¥(2¿ù) _월간~11_2004.10.27 대형취급점 접수변경 및 집하지침 안내 (택업 2004-396)" xfId="778" xr:uid="{00000000-0005-0000-0000-000002030000}"/>
    <cellStyle name="C￥AØ_Ay°eC￥(2¿u) _월간~11_2005.05  MBC ESPN 인라인마라톤 품의" xfId="779" xr:uid="{00000000-0005-0000-0000-000003030000}"/>
    <cellStyle name="Ç¥ÁØ_Áý°èÇ¥(2¿ù) _월간~11_2005.05  MBC ESPN 인라인마라톤 품의" xfId="780" xr:uid="{00000000-0005-0000-0000-000004030000}"/>
    <cellStyle name="C￥AØ_Ay°eC￥(2¿u) _월간~11_2005년 01월 개인택배 집하관리 벌과금확정" xfId="781" xr:uid="{00000000-0005-0000-0000-000005030000}"/>
    <cellStyle name="Ç¥ÁØ_Áý°èÇ¥(2¿ù) _월간~11_2005년 01월 개인택배 집하관리 벌과금확정" xfId="782" xr:uid="{00000000-0005-0000-0000-000006030000}"/>
    <cellStyle name="C￥AØ_Ay°eC￥(2¿u) _월간~11_2005년 1.4 분기 개인택배 실적우수점소 포상관련 품의 (050414)" xfId="783" xr:uid="{00000000-0005-0000-0000-000007030000}"/>
    <cellStyle name="Ç¥ÁØ_Áý°èÇ¥(2¿ù) _월간~11_2005년 1.4 분기 개인택배 실적우수점소 포상관련 품의 (050414)" xfId="784" xr:uid="{00000000-0005-0000-0000-000008030000}"/>
    <cellStyle name="C￥AØ_Ay°eC￥(2¿u) _월간~11_7월선급금" xfId="785" xr:uid="{00000000-0005-0000-0000-000009030000}"/>
    <cellStyle name="Ç¥ÁØ_Áý°èÇ¥(2¿ù) _월간~11_7월선급금" xfId="786" xr:uid="{00000000-0005-0000-0000-00000A030000}"/>
    <cellStyle name="C￥AØ_Ay°eC￥(2¿u) _월간~11_TEST" xfId="787" xr:uid="{00000000-0005-0000-0000-00000B030000}"/>
    <cellStyle name="Ç¥ÁØ_Áý°èÇ¥(2¿ù) _월간~11_TEST" xfId="788" xr:uid="{00000000-0005-0000-0000-00000C030000}"/>
    <cellStyle name="C￥AØ_Ay°eC￥(2¿u) _월간~11_경비6~1" xfId="789" xr:uid="{00000000-0005-0000-0000-00000D030000}"/>
    <cellStyle name="Ç¥ÁØ_Áý°èÇ¥(2¿ù) _월간~11_경비6~1" xfId="790" xr:uid="{00000000-0005-0000-0000-00000E030000}"/>
    <cellStyle name="C￥AØ_Ay°eC￥(2¿u) _월간~11_경비6~1_천안셔틀타임테이블거리(20021015)" xfId="791" xr:uid="{00000000-0005-0000-0000-00000F030000}"/>
    <cellStyle name="Ç¥ÁØ_Áý°èÇ¥(2¿ù) _월간~11_경비6~1_천안셔틀타임테이블거리(20021015)" xfId="792" xr:uid="{00000000-0005-0000-0000-000010030000}"/>
    <cellStyle name="C￥AØ_Ay°eC￥(2¿u) _월간~11_경비7~1" xfId="793" xr:uid="{00000000-0005-0000-0000-000011030000}"/>
    <cellStyle name="Ç¥ÁØ_Áý°èÇ¥(2¿ù) _월간~11_경비7~1" xfId="794" xr:uid="{00000000-0005-0000-0000-000012030000}"/>
    <cellStyle name="C￥AØ_Ay°eC￥(2¿u) _월간~11_경비7~1_천안셔틀타임테이블거리(20021015)" xfId="795" xr:uid="{00000000-0005-0000-0000-000013030000}"/>
    <cellStyle name="Ç¥ÁØ_Áý°èÇ¥(2¿ù) _월간~11_경비7~1_천안셔틀타임테이블거리(20021015)" xfId="796" xr:uid="{00000000-0005-0000-0000-000014030000}"/>
    <cellStyle name="C￥AØ_Ay°eC￥(2¿u) _월간~11_운송경비" xfId="797" xr:uid="{00000000-0005-0000-0000-000015030000}"/>
    <cellStyle name="Ç¥ÁØ_Áý°èÇ¥(2¿ù) _월간~11_운송경비" xfId="798" xr:uid="{00000000-0005-0000-0000-000016030000}"/>
    <cellStyle name="C￥AØ_Ay°eC￥(2¿u) _월간~11_천안셔틀타임테이블거리(20021015)" xfId="799" xr:uid="{00000000-0005-0000-0000-000017030000}"/>
    <cellStyle name="Ç¥ÁØ_Áý°èÇ¥(2¿ù) _월간~11_천안셔틀타임테이블거리(20021015)" xfId="800" xr:uid="{00000000-0005-0000-0000-000018030000}"/>
    <cellStyle name="C￥AØ_Ay°eC￥(2¿u) _월간~11_택마 2004-    취급점 활성화위한 집하관리 결과공지 건" xfId="801" xr:uid="{00000000-0005-0000-0000-000019030000}"/>
    <cellStyle name="Ç¥ÁØ_Áý°èÇ¥(2¿ù) _월간~11_택마 2004-    취급점 활성화위한 집하관리 결과공지 건" xfId="802" xr:uid="{00000000-0005-0000-0000-00001A030000}"/>
    <cellStyle name="C￥AØ_Ay°eC￥(2¿u) _월간~11_택마 2004-263 개인택배 활성화위한 집하관리 결과공지 건" xfId="803" xr:uid="{00000000-0005-0000-0000-00001B030000}"/>
    <cellStyle name="Ç¥ÁØ_Áý°èÇ¥(2¿ù) _월간~11_택마 2004-263 개인택배 활성화위한 집하관리 결과공지 건" xfId="804" xr:uid="{00000000-0005-0000-0000-00001C030000}"/>
    <cellStyle name="C￥AØ_Ay°eC￥(2¿u) _월간~11_택마 2005-191 추계5대 마라톤대회 유치관련 공문" xfId="805" xr:uid="{00000000-0005-0000-0000-00001D030000}"/>
    <cellStyle name="Ç¥ÁØ_Áý°èÇ¥(2¿ù) _월간~11_택마 2005-191 추계5대 마라톤대회 유치관련 공문" xfId="806" xr:uid="{00000000-0005-0000-0000-00001E030000}"/>
    <cellStyle name="C￥AØ_Ay°eC￥(2¿u) _월간10" xfId="807" xr:uid="{00000000-0005-0000-0000-00001F030000}"/>
    <cellStyle name="Ç¥ÁØ_Áý°èÇ¥(2¿ù) _월간10" xfId="808" xr:uid="{00000000-0005-0000-0000-000020030000}"/>
    <cellStyle name="C￥AØ_Ay°eC￥(2¿u) _월간10_200208~1" xfId="809" xr:uid="{00000000-0005-0000-0000-000021030000}"/>
    <cellStyle name="Ç¥ÁØ_Áý°èÇ¥(2¿ù) _월간10_200208~1" xfId="810" xr:uid="{00000000-0005-0000-0000-000022030000}"/>
    <cellStyle name="C￥AØ_Ay°eC￥(2¿u) _월간10_200209~1" xfId="811" xr:uid="{00000000-0005-0000-0000-000023030000}"/>
    <cellStyle name="Ç¥ÁØ_Áý°èÇ¥(2¿ù) _월간10_200209~1" xfId="812" xr:uid="{00000000-0005-0000-0000-000024030000}"/>
    <cellStyle name="C￥AØ_Ay°eC￥(2¿u) _월간10_2004.10.27 대형취급점 접수변경 및 집하지침 안내 (택업 2004-396)" xfId="813" xr:uid="{00000000-0005-0000-0000-000025030000}"/>
    <cellStyle name="Ç¥ÁØ_Áý°èÇ¥(2¿ù) _월간10_2004.10.27 대형취급점 접수변경 및 집하지침 안내 (택업 2004-396)" xfId="814" xr:uid="{00000000-0005-0000-0000-000026030000}"/>
    <cellStyle name="C￥AØ_Ay°eC￥(2¿u) _월간10_2005.05  MBC ESPN 인라인마라톤 품의" xfId="815" xr:uid="{00000000-0005-0000-0000-000027030000}"/>
    <cellStyle name="Ç¥ÁØ_Áý°èÇ¥(2¿ù) _월간10_2005.05  MBC ESPN 인라인마라톤 품의" xfId="816" xr:uid="{00000000-0005-0000-0000-000028030000}"/>
    <cellStyle name="C￥AØ_Ay°eC￥(2¿u) _월간10_2005년 01월 개인택배 집하관리 벌과금확정" xfId="817" xr:uid="{00000000-0005-0000-0000-000029030000}"/>
    <cellStyle name="Ç¥ÁØ_Áý°èÇ¥(2¿ù) _월간10_2005년 01월 개인택배 집하관리 벌과금확정" xfId="818" xr:uid="{00000000-0005-0000-0000-00002A030000}"/>
    <cellStyle name="C￥AØ_Ay°eC￥(2¿u) _월간10_2005년 1.4 분기 개인택배 실적우수점소 포상관련 품의 (050414)" xfId="819" xr:uid="{00000000-0005-0000-0000-00002B030000}"/>
    <cellStyle name="Ç¥ÁØ_Áý°èÇ¥(2¿ù) _월간10_2005년 1.4 분기 개인택배 실적우수점소 포상관련 품의 (050414)" xfId="820" xr:uid="{00000000-0005-0000-0000-00002C030000}"/>
    <cellStyle name="C￥AØ_Ay°eC￥(2¿u) _월간10_7월선급금" xfId="821" xr:uid="{00000000-0005-0000-0000-00002D030000}"/>
    <cellStyle name="Ç¥ÁØ_Áý°èÇ¥(2¿ù) _월간10_7월선급금" xfId="822" xr:uid="{00000000-0005-0000-0000-00002E030000}"/>
    <cellStyle name="C￥AØ_Ay°eC￥(2¿u) _월간10_TEST" xfId="823" xr:uid="{00000000-0005-0000-0000-00002F030000}"/>
    <cellStyle name="Ç¥ÁØ_Áý°èÇ¥(2¿ù) _월간10_TEST" xfId="824" xr:uid="{00000000-0005-0000-0000-000030030000}"/>
    <cellStyle name="C￥AØ_Ay°eC￥(2¿u) _월간10_경비6~1" xfId="825" xr:uid="{00000000-0005-0000-0000-000031030000}"/>
    <cellStyle name="Ç¥ÁØ_Áý°èÇ¥(2¿ù) _월간10_경비6~1" xfId="826" xr:uid="{00000000-0005-0000-0000-000032030000}"/>
    <cellStyle name="C￥AØ_Ay°eC￥(2¿u) _월간10_경비6~1_천안셔틀타임테이블거리(20021015)" xfId="827" xr:uid="{00000000-0005-0000-0000-000033030000}"/>
    <cellStyle name="Ç¥ÁØ_Áý°èÇ¥(2¿ù) _월간10_경비6~1_천안셔틀타임테이블거리(20021015)" xfId="828" xr:uid="{00000000-0005-0000-0000-000034030000}"/>
    <cellStyle name="C￥AØ_Ay°eC￥(2¿u) _월간10_경비7~1" xfId="829" xr:uid="{00000000-0005-0000-0000-000035030000}"/>
    <cellStyle name="Ç¥ÁØ_Áý°èÇ¥(2¿ù) _월간10_경비7~1" xfId="830" xr:uid="{00000000-0005-0000-0000-000036030000}"/>
    <cellStyle name="C￥AØ_Ay°eC￥(2¿u) _월간10_경비7~1_천안셔틀타임테이블거리(20021015)" xfId="831" xr:uid="{00000000-0005-0000-0000-000037030000}"/>
    <cellStyle name="Ç¥ÁØ_Áý°èÇ¥(2¿ù) _월간10_경비7~1_천안셔틀타임테이블거리(20021015)" xfId="832" xr:uid="{00000000-0005-0000-0000-000038030000}"/>
    <cellStyle name="C￥AØ_Ay°eC￥(2¿u) _월간10_운송경비" xfId="833" xr:uid="{00000000-0005-0000-0000-000039030000}"/>
    <cellStyle name="Ç¥ÁØ_Áý°èÇ¥(2¿ù) _월간10_운송경비" xfId="834" xr:uid="{00000000-0005-0000-0000-00003A030000}"/>
    <cellStyle name="C￥AØ_Ay°eC￥(2¿u) _월간10_천안셔틀타임테이블거리(20021015)" xfId="835" xr:uid="{00000000-0005-0000-0000-00003B030000}"/>
    <cellStyle name="Ç¥ÁØ_Áý°èÇ¥(2¿ù) _월간10_천안셔틀타임테이블거리(20021015)" xfId="836" xr:uid="{00000000-0005-0000-0000-00003C030000}"/>
    <cellStyle name="C￥AØ_Ay°eC￥(2¿u) _월간10_택마 2004-    취급점 활성화위한 집하관리 결과공지 건" xfId="837" xr:uid="{00000000-0005-0000-0000-00003D030000}"/>
    <cellStyle name="Ç¥ÁØ_Áý°èÇ¥(2¿ù) _월간10_택마 2004-    취급점 활성화위한 집하관리 결과공지 건" xfId="838" xr:uid="{00000000-0005-0000-0000-00003E030000}"/>
    <cellStyle name="C￥AØ_Ay°eC￥(2¿u) _월간10_택마 2004-263 개인택배 활성화위한 집하관리 결과공지 건" xfId="839" xr:uid="{00000000-0005-0000-0000-00003F030000}"/>
    <cellStyle name="Ç¥ÁØ_Áý°èÇ¥(2¿ù) _월간10_택마 2004-263 개인택배 활성화위한 집하관리 결과공지 건" xfId="840" xr:uid="{00000000-0005-0000-0000-000040030000}"/>
    <cellStyle name="C￥AØ_Ay°eC￥(2¿u) _월간10_택마 2005-191 추계5대 마라톤대회 유치관련 공문" xfId="841" xr:uid="{00000000-0005-0000-0000-000041030000}"/>
    <cellStyle name="Ç¥ÁØ_Áý°èÇ¥(2¿ù) _월간10_택마 2005-191 추계5대 마라톤대회 유치관련 공문" xfId="842" xr:uid="{00000000-0005-0000-0000-000042030000}"/>
    <cellStyle name="C￥AØ_Ay°eC￥(2¿u) _월간11" xfId="843" xr:uid="{00000000-0005-0000-0000-000043030000}"/>
    <cellStyle name="Ç¥ÁØ_Áý°èÇ¥(2¿ù) _월간11" xfId="844" xr:uid="{00000000-0005-0000-0000-000044030000}"/>
    <cellStyle name="C￥AØ_Ay°eC￥(2¿u) _월간11_200208~1" xfId="845" xr:uid="{00000000-0005-0000-0000-000045030000}"/>
    <cellStyle name="Ç¥ÁØ_Áý°èÇ¥(2¿ù) _월간11_200208~1" xfId="846" xr:uid="{00000000-0005-0000-0000-000046030000}"/>
    <cellStyle name="C￥AØ_Ay°eC￥(2¿u) _월간11_200209~1" xfId="847" xr:uid="{00000000-0005-0000-0000-000047030000}"/>
    <cellStyle name="Ç¥ÁØ_Áý°èÇ¥(2¿ù) _월간11_200209~1" xfId="848" xr:uid="{00000000-0005-0000-0000-000048030000}"/>
    <cellStyle name="C￥AØ_Ay°eC￥(2¿u) _월간11_2004.10.27 대형취급점 접수변경 및 집하지침 안내 (택업 2004-396)" xfId="849" xr:uid="{00000000-0005-0000-0000-000049030000}"/>
    <cellStyle name="Ç¥ÁØ_Áý°èÇ¥(2¿ù) _월간11_2004.10.27 대형취급점 접수변경 및 집하지침 안내 (택업 2004-396)" xfId="850" xr:uid="{00000000-0005-0000-0000-00004A030000}"/>
    <cellStyle name="C￥AØ_Ay°eC￥(2¿u) _월간11_2005.05  MBC ESPN 인라인마라톤 품의" xfId="851" xr:uid="{00000000-0005-0000-0000-00004B030000}"/>
    <cellStyle name="Ç¥ÁØ_Áý°èÇ¥(2¿ù) _월간11_2005.05  MBC ESPN 인라인마라톤 품의" xfId="852" xr:uid="{00000000-0005-0000-0000-00004C030000}"/>
    <cellStyle name="C￥AØ_Ay°eC￥(2¿u) _월간11_2005년 01월 개인택배 집하관리 벌과금확정" xfId="853" xr:uid="{00000000-0005-0000-0000-00004D030000}"/>
    <cellStyle name="Ç¥ÁØ_Áý°èÇ¥(2¿ù) _월간11_2005년 01월 개인택배 집하관리 벌과금확정" xfId="854" xr:uid="{00000000-0005-0000-0000-00004E030000}"/>
    <cellStyle name="C￥AØ_Ay°eC￥(2¿u) _월간11_2005년 1.4 분기 개인택배 실적우수점소 포상관련 품의 (050414)" xfId="855" xr:uid="{00000000-0005-0000-0000-00004F030000}"/>
    <cellStyle name="Ç¥ÁØ_Áý°èÇ¥(2¿ù) _월간11_2005년 1.4 분기 개인택배 실적우수점소 포상관련 품의 (050414)" xfId="856" xr:uid="{00000000-0005-0000-0000-000050030000}"/>
    <cellStyle name="C￥AØ_Ay°eC￥(2¿u) _월간11_7월선급금" xfId="857" xr:uid="{00000000-0005-0000-0000-000051030000}"/>
    <cellStyle name="Ç¥ÁØ_Áý°èÇ¥(2¿ù) _월간11_7월선급금" xfId="858" xr:uid="{00000000-0005-0000-0000-000052030000}"/>
    <cellStyle name="C￥AØ_Ay°eC￥(2¿u) _월간11_TEST" xfId="859" xr:uid="{00000000-0005-0000-0000-000053030000}"/>
    <cellStyle name="Ç¥ÁØ_Áý°èÇ¥(2¿ù) _월간11_TEST" xfId="860" xr:uid="{00000000-0005-0000-0000-000054030000}"/>
    <cellStyle name="C￥AØ_Ay°eC￥(2¿u) _월간11_경비6~1" xfId="861" xr:uid="{00000000-0005-0000-0000-000055030000}"/>
    <cellStyle name="Ç¥ÁØ_Áý°èÇ¥(2¿ù) _월간11_경비6~1" xfId="862" xr:uid="{00000000-0005-0000-0000-000056030000}"/>
    <cellStyle name="C￥AØ_Ay°eC￥(2¿u) _월간11_경비6~1_천안셔틀타임테이블거리(20021015)" xfId="863" xr:uid="{00000000-0005-0000-0000-000057030000}"/>
    <cellStyle name="Ç¥ÁØ_Áý°èÇ¥(2¿ù) _월간11_경비6~1_천안셔틀타임테이블거리(20021015)" xfId="864" xr:uid="{00000000-0005-0000-0000-000058030000}"/>
    <cellStyle name="C￥AØ_Ay°eC￥(2¿u) _월간11_경비7~1" xfId="865" xr:uid="{00000000-0005-0000-0000-000059030000}"/>
    <cellStyle name="Ç¥ÁØ_Áý°èÇ¥(2¿ù) _월간11_경비7~1" xfId="866" xr:uid="{00000000-0005-0000-0000-00005A030000}"/>
    <cellStyle name="C￥AØ_Ay°eC￥(2¿u) _월간11_경비7~1_천안셔틀타임테이블거리(20021015)" xfId="867" xr:uid="{00000000-0005-0000-0000-00005B030000}"/>
    <cellStyle name="Ç¥ÁØ_Áý°èÇ¥(2¿ù) _월간11_경비7~1_천안셔틀타임테이블거리(20021015)" xfId="868" xr:uid="{00000000-0005-0000-0000-00005C030000}"/>
    <cellStyle name="C￥AØ_Ay°eC￥(2¿u) _월간11_운송경비" xfId="869" xr:uid="{00000000-0005-0000-0000-00005D030000}"/>
    <cellStyle name="Ç¥ÁØ_Áý°èÇ¥(2¿ù) _월간11_운송경비" xfId="870" xr:uid="{00000000-0005-0000-0000-00005E030000}"/>
    <cellStyle name="C￥AØ_Ay°eC￥(2¿u) _월간11_천안셔틀타임테이블거리(20021015)" xfId="871" xr:uid="{00000000-0005-0000-0000-00005F030000}"/>
    <cellStyle name="Ç¥ÁØ_Áý°èÇ¥(2¿ù) _월간11_천안셔틀타임테이블거리(20021015)" xfId="872" xr:uid="{00000000-0005-0000-0000-000060030000}"/>
    <cellStyle name="C￥AØ_Ay°eC￥(2¿u) _월간11_택마 2004-    취급점 활성화위한 집하관리 결과공지 건" xfId="873" xr:uid="{00000000-0005-0000-0000-000061030000}"/>
    <cellStyle name="Ç¥ÁØ_Áý°èÇ¥(2¿ù) _월간11_택마 2004-    취급점 활성화위한 집하관리 결과공지 건" xfId="874" xr:uid="{00000000-0005-0000-0000-000062030000}"/>
    <cellStyle name="C￥AØ_Ay°eC￥(2¿u) _월간11_택마 2004-263 개인택배 활성화위한 집하관리 결과공지 건" xfId="875" xr:uid="{00000000-0005-0000-0000-000063030000}"/>
    <cellStyle name="Ç¥ÁØ_Áý°èÇ¥(2¿ù) _월간11_택마 2004-263 개인택배 활성화위한 집하관리 결과공지 건" xfId="876" xr:uid="{00000000-0005-0000-0000-000064030000}"/>
    <cellStyle name="C￥AØ_Ay°eC￥(2¿u) _월간11_택마 2005-191 추계5대 마라톤대회 유치관련 공문" xfId="877" xr:uid="{00000000-0005-0000-0000-000065030000}"/>
    <cellStyle name="Ç¥ÁØ_Áý°èÇ¥(2¿ù) _월간11_택마 2005-191 추계5대 마라톤대회 유치관련 공문" xfId="878" xr:uid="{00000000-0005-0000-0000-000066030000}"/>
    <cellStyle name="C￥AØ_Ay°eC￥(2¿u) _월간보~9" xfId="879" xr:uid="{00000000-0005-0000-0000-000067030000}"/>
    <cellStyle name="Ç¥ÁØ_Áý°èÇ¥(2¿ù) _월간보~9" xfId="880" xr:uid="{00000000-0005-0000-0000-000068030000}"/>
    <cellStyle name="C￥AØ_Ay°eC￥(2¿u) _월간보~9_200208~1" xfId="881" xr:uid="{00000000-0005-0000-0000-000069030000}"/>
    <cellStyle name="Ç¥ÁØ_Áý°èÇ¥(2¿ù) _월간보~9_200208~1" xfId="882" xr:uid="{00000000-0005-0000-0000-00006A030000}"/>
    <cellStyle name="C￥AØ_Ay°eC￥(2¿u) _월간보~9_200209~1" xfId="883" xr:uid="{00000000-0005-0000-0000-00006B030000}"/>
    <cellStyle name="Ç¥ÁØ_Áý°èÇ¥(2¿ù) _월간보~9_200209~1" xfId="884" xr:uid="{00000000-0005-0000-0000-00006C030000}"/>
    <cellStyle name="C￥AØ_Ay°eC￥(2¿u) _월간보~9_2004.10.27 대형취급점 접수변경 및 집하지침 안내 (택업 2004-396)" xfId="885" xr:uid="{00000000-0005-0000-0000-00006D030000}"/>
    <cellStyle name="Ç¥ÁØ_Áý°èÇ¥(2¿ù) _월간보~9_2004.10.27 대형취급점 접수변경 및 집하지침 안내 (택업 2004-396)" xfId="886" xr:uid="{00000000-0005-0000-0000-00006E030000}"/>
    <cellStyle name="C￥AØ_Ay°eC￥(2¿u) _월간보~9_2005.05  MBC ESPN 인라인마라톤 품의" xfId="887" xr:uid="{00000000-0005-0000-0000-00006F030000}"/>
    <cellStyle name="Ç¥ÁØ_Áý°èÇ¥(2¿ù) _월간보~9_2005.05  MBC ESPN 인라인마라톤 품의" xfId="888" xr:uid="{00000000-0005-0000-0000-000070030000}"/>
    <cellStyle name="C￥AØ_Ay°eC￥(2¿u) _월간보~9_2005년 01월 개인택배 집하관리 벌과금확정" xfId="889" xr:uid="{00000000-0005-0000-0000-000071030000}"/>
    <cellStyle name="Ç¥ÁØ_Áý°èÇ¥(2¿ù) _월간보~9_2005년 01월 개인택배 집하관리 벌과금확정" xfId="890" xr:uid="{00000000-0005-0000-0000-000072030000}"/>
    <cellStyle name="C￥AØ_Ay°eC￥(2¿u) _월간보~9_2005년 1.4 분기 개인택배 실적우수점소 포상관련 품의 (050414)" xfId="891" xr:uid="{00000000-0005-0000-0000-000073030000}"/>
    <cellStyle name="Ç¥ÁØ_Áý°èÇ¥(2¿ù) _월간보~9_2005년 1.4 분기 개인택배 실적우수점소 포상관련 품의 (050414)" xfId="892" xr:uid="{00000000-0005-0000-0000-000074030000}"/>
    <cellStyle name="C￥AØ_Ay°eC￥(2¿u) _월간보~9_7월선급금" xfId="893" xr:uid="{00000000-0005-0000-0000-000075030000}"/>
    <cellStyle name="Ç¥ÁØ_Áý°èÇ¥(2¿ù) _월간보~9_7월선급금" xfId="894" xr:uid="{00000000-0005-0000-0000-000076030000}"/>
    <cellStyle name="C￥AØ_Ay°eC￥(2¿u) _월간보~9_TEST" xfId="895" xr:uid="{00000000-0005-0000-0000-000077030000}"/>
    <cellStyle name="Ç¥ÁØ_Áý°èÇ¥(2¿ù) _월간보~9_TEST" xfId="896" xr:uid="{00000000-0005-0000-0000-000078030000}"/>
    <cellStyle name="C￥AØ_Ay°eC￥(2¿u) _월간보~9_경비6~1" xfId="897" xr:uid="{00000000-0005-0000-0000-000079030000}"/>
    <cellStyle name="Ç¥ÁØ_Áý°èÇ¥(2¿ù) _월간보~9_경비6~1" xfId="898" xr:uid="{00000000-0005-0000-0000-00007A030000}"/>
    <cellStyle name="C￥AØ_Ay°eC￥(2¿u) _월간보~9_경비6~1_천안셔틀타임테이블거리(20021015)" xfId="899" xr:uid="{00000000-0005-0000-0000-00007B030000}"/>
    <cellStyle name="Ç¥ÁØ_Áý°èÇ¥(2¿ù) _월간보~9_경비6~1_천안셔틀타임테이블거리(20021015)" xfId="900" xr:uid="{00000000-0005-0000-0000-00007C030000}"/>
    <cellStyle name="C￥AØ_Ay°eC￥(2¿u) _월간보~9_경비7~1" xfId="901" xr:uid="{00000000-0005-0000-0000-00007D030000}"/>
    <cellStyle name="Ç¥ÁØ_Áý°èÇ¥(2¿ù) _월간보~9_경비7~1" xfId="902" xr:uid="{00000000-0005-0000-0000-00007E030000}"/>
    <cellStyle name="C￥AØ_Ay°eC￥(2¿u) _월간보~9_경비7~1_천안셔틀타임테이블거리(20021015)" xfId="903" xr:uid="{00000000-0005-0000-0000-00007F030000}"/>
    <cellStyle name="Ç¥ÁØ_Áý°èÇ¥(2¿ù) _월간보~9_경비7~1_천안셔틀타임테이블거리(20021015)" xfId="904" xr:uid="{00000000-0005-0000-0000-000080030000}"/>
    <cellStyle name="C￥AØ_Ay°eC￥(2¿u) _월간보~9_운송경비" xfId="905" xr:uid="{00000000-0005-0000-0000-000081030000}"/>
    <cellStyle name="Ç¥ÁØ_Áý°èÇ¥(2¿ù) _월간보~9_운송경비" xfId="906" xr:uid="{00000000-0005-0000-0000-000082030000}"/>
    <cellStyle name="C￥AØ_Ay°eC￥(2¿u) _월간보~9_천안셔틀타임테이블거리(20021015)" xfId="907" xr:uid="{00000000-0005-0000-0000-000083030000}"/>
    <cellStyle name="Ç¥ÁØ_Áý°èÇ¥(2¿ù) _월간보~9_천안셔틀타임테이블거리(20021015)" xfId="908" xr:uid="{00000000-0005-0000-0000-000084030000}"/>
    <cellStyle name="C￥AØ_Ay°eC￥(2¿u) _월간보~9_택마 2004-    취급점 활성화위한 집하관리 결과공지 건" xfId="909" xr:uid="{00000000-0005-0000-0000-000085030000}"/>
    <cellStyle name="Ç¥ÁØ_Áý°èÇ¥(2¿ù) _월간보~9_택마 2004-    취급점 활성화위한 집하관리 결과공지 건" xfId="910" xr:uid="{00000000-0005-0000-0000-000086030000}"/>
    <cellStyle name="C￥AØ_Ay°eC￥(2¿u) _월간보~9_택마 2004-263 개인택배 활성화위한 집하관리 결과공지 건" xfId="911" xr:uid="{00000000-0005-0000-0000-000087030000}"/>
    <cellStyle name="Ç¥ÁØ_Áý°èÇ¥(2¿ù) _월간보~9_택마 2004-263 개인택배 활성화위한 집하관리 결과공지 건" xfId="912" xr:uid="{00000000-0005-0000-0000-000088030000}"/>
    <cellStyle name="C￥AØ_Ay°eC￥(2¿u) _월간보~9_택마 2005-191 추계5대 마라톤대회 유치관련 공문" xfId="913" xr:uid="{00000000-0005-0000-0000-000089030000}"/>
    <cellStyle name="Ç¥ÁØ_Áý°èÇ¥(2¿ù) _월간보~9_택마 2005-191 추계5대 마라톤대회 유치관련 공문" xfId="914" xr:uid="{00000000-0005-0000-0000-00008A030000}"/>
    <cellStyle name="C￥AØ_Ay°eC￥(2¿u) _종로" xfId="915" xr:uid="{00000000-0005-0000-0000-00008B030000}"/>
    <cellStyle name="Ç¥ÁØ_Áý°èÇ¥(2¿ù) _종로" xfId="916" xr:uid="{00000000-0005-0000-0000-00008C030000}"/>
    <cellStyle name="C￥AØ_Ay°eC￥(2¿u) _종로_200208~1" xfId="917" xr:uid="{00000000-0005-0000-0000-00008D030000}"/>
    <cellStyle name="Ç¥ÁØ_Áý°èÇ¥(2¿ù) _종로_200208~1" xfId="918" xr:uid="{00000000-0005-0000-0000-00008E030000}"/>
    <cellStyle name="C￥AØ_Ay°eC￥(2¿u) _종로_200209~1" xfId="919" xr:uid="{00000000-0005-0000-0000-00008F030000}"/>
    <cellStyle name="Ç¥ÁØ_Áý°èÇ¥(2¿ù) _종로_200209~1" xfId="920" xr:uid="{00000000-0005-0000-0000-000090030000}"/>
    <cellStyle name="C￥AØ_Ay°eC￥(2¿u) _종로_2004.10.27 대형취급점 접수변경 및 집하지침 안내 (택업 2004-396)" xfId="921" xr:uid="{00000000-0005-0000-0000-000091030000}"/>
    <cellStyle name="Ç¥ÁØ_Áý°èÇ¥(2¿ù) _종로_2004.10.27 대형취급점 접수변경 및 집하지침 안내 (택업 2004-396)" xfId="922" xr:uid="{00000000-0005-0000-0000-000092030000}"/>
    <cellStyle name="C￥AØ_Ay°eC￥(2¿u) _종로_2005.05  MBC ESPN 인라인마라톤 품의" xfId="923" xr:uid="{00000000-0005-0000-0000-000093030000}"/>
    <cellStyle name="Ç¥ÁØ_Áý°èÇ¥(2¿ù) _종로_2005.05  MBC ESPN 인라인마라톤 품의" xfId="924" xr:uid="{00000000-0005-0000-0000-000094030000}"/>
    <cellStyle name="C￥AØ_Ay°eC￥(2¿u) _종로_2005년 01월 개인택배 집하관리 벌과금확정" xfId="925" xr:uid="{00000000-0005-0000-0000-000095030000}"/>
    <cellStyle name="Ç¥ÁØ_Áý°èÇ¥(2¿ù) _종로_2005년 01월 개인택배 집하관리 벌과금확정" xfId="926" xr:uid="{00000000-0005-0000-0000-000096030000}"/>
    <cellStyle name="C￥AØ_Ay°eC￥(2¿u) _종로_2005년 1.4 분기 개인택배 실적우수점소 포상관련 품의 (050414)" xfId="927" xr:uid="{00000000-0005-0000-0000-000097030000}"/>
    <cellStyle name="Ç¥ÁØ_Áý°èÇ¥(2¿ù) _종로_2005년 1.4 분기 개인택배 실적우수점소 포상관련 품의 (050414)" xfId="928" xr:uid="{00000000-0005-0000-0000-000098030000}"/>
    <cellStyle name="C￥AØ_Ay°eC￥(2¿u) _종로_7월선급금" xfId="929" xr:uid="{00000000-0005-0000-0000-000099030000}"/>
    <cellStyle name="Ç¥ÁØ_Áý°èÇ¥(2¿ù) _종로_7월선급금" xfId="930" xr:uid="{00000000-0005-0000-0000-00009A030000}"/>
    <cellStyle name="C￥AØ_Ay°eC￥(2¿u) _종로_TEST" xfId="931" xr:uid="{00000000-0005-0000-0000-00009B030000}"/>
    <cellStyle name="Ç¥ÁØ_Áý°èÇ¥(2¿ù) _종로_TEST" xfId="932" xr:uid="{00000000-0005-0000-0000-00009C030000}"/>
    <cellStyle name="C￥AØ_Ay°eC￥(2¿u) _종로_경비6~1" xfId="933" xr:uid="{00000000-0005-0000-0000-00009D030000}"/>
    <cellStyle name="Ç¥ÁØ_Áý°èÇ¥(2¿ù) _종로_경비6~1" xfId="934" xr:uid="{00000000-0005-0000-0000-00009E030000}"/>
    <cellStyle name="C￥AØ_Ay°eC￥(2¿u) _종로_경비6~1_천안셔틀타임테이블거리(20021015)" xfId="935" xr:uid="{00000000-0005-0000-0000-00009F030000}"/>
    <cellStyle name="Ç¥ÁØ_Áý°èÇ¥(2¿ù) _종로_경비6~1_천안셔틀타임테이블거리(20021015)" xfId="936" xr:uid="{00000000-0005-0000-0000-0000A0030000}"/>
    <cellStyle name="C￥AØ_Ay°eC￥(2¿u) _종로_경비7~1" xfId="937" xr:uid="{00000000-0005-0000-0000-0000A1030000}"/>
    <cellStyle name="Ç¥ÁØ_Áý°èÇ¥(2¿ù) _종로_경비7~1" xfId="938" xr:uid="{00000000-0005-0000-0000-0000A2030000}"/>
    <cellStyle name="C￥AØ_Ay°eC￥(2¿u) _종로_경비7~1_천안셔틀타임테이블거리(20021015)" xfId="939" xr:uid="{00000000-0005-0000-0000-0000A3030000}"/>
    <cellStyle name="Ç¥ÁØ_Áý°èÇ¥(2¿ù) _종로_경비7~1_천안셔틀타임테이블거리(20021015)" xfId="940" xr:uid="{00000000-0005-0000-0000-0000A4030000}"/>
    <cellStyle name="C￥AØ_Ay°eC￥(2¿u) _종로_운송경비" xfId="941" xr:uid="{00000000-0005-0000-0000-0000A5030000}"/>
    <cellStyle name="Ç¥ÁØ_Áý°èÇ¥(2¿ù) _종로_운송경비" xfId="942" xr:uid="{00000000-0005-0000-0000-0000A6030000}"/>
    <cellStyle name="C￥AØ_Ay°eC￥(2¿u) _종로_천안셔틀타임테이블거리(20021015)" xfId="943" xr:uid="{00000000-0005-0000-0000-0000A7030000}"/>
    <cellStyle name="Ç¥ÁØ_Áý°èÇ¥(2¿ù) _종로_천안셔틀타임테이블거리(20021015)" xfId="944" xr:uid="{00000000-0005-0000-0000-0000A8030000}"/>
    <cellStyle name="C￥AØ_Ay°eC￥(2¿u) _종로_택마 2004-    취급점 활성화위한 집하관리 결과공지 건" xfId="945" xr:uid="{00000000-0005-0000-0000-0000A9030000}"/>
    <cellStyle name="Ç¥ÁØ_Áý°èÇ¥(2¿ù) _종로_택마 2004-    취급점 활성화위한 집하관리 결과공지 건" xfId="946" xr:uid="{00000000-0005-0000-0000-0000AA030000}"/>
    <cellStyle name="C￥AØ_Ay°eC￥(2¿u) _종로_택마 2004-263 개인택배 활성화위한 집하관리 결과공지 건" xfId="947" xr:uid="{00000000-0005-0000-0000-0000AB030000}"/>
    <cellStyle name="Ç¥ÁØ_Áý°èÇ¥(2¿ù) _종로_택마 2004-263 개인택배 활성화위한 집하관리 결과공지 건" xfId="948" xr:uid="{00000000-0005-0000-0000-0000AC030000}"/>
    <cellStyle name="C￥AØ_Ay°eC￥(2¿u) _종로_택마 2005-191 추계5대 마라톤대회 유치관련 공문" xfId="949" xr:uid="{00000000-0005-0000-0000-0000AD030000}"/>
    <cellStyle name="Ç¥ÁØ_Áý°èÇ¥(2¿ù) _종로_택마 2005-191 추계5대 마라톤대회 유치관련 공문" xfId="950" xr:uid="{00000000-0005-0000-0000-0000AE030000}"/>
    <cellStyle name="C￥AØ_Book2" xfId="951" xr:uid="{00000000-0005-0000-0000-0000AF030000}"/>
    <cellStyle name="Ç¥ÁØ_Sheet1_¿µ¾÷ÇöÈ² " xfId="952" xr:uid="{00000000-0005-0000-0000-0000B0030000}"/>
    <cellStyle name="C￥AØ_Sheet1_¿μ¾÷CoE² " xfId="953" xr:uid="{00000000-0005-0000-0000-0000B1030000}"/>
    <cellStyle name="Ç¥ÁØ_WINDOW(´ç»ç) " xfId="954" xr:uid="{00000000-0005-0000-0000-0000B2030000}"/>
    <cellStyle name="C￥AØ_WINDOW(´c≫c) " xfId="955" xr:uid="{00000000-0005-0000-0000-0000B3030000}"/>
    <cellStyle name="Calc Currency (0)" xfId="956" xr:uid="{00000000-0005-0000-0000-0000B4030000}"/>
    <cellStyle name="Calculation" xfId="957" xr:uid="{00000000-0005-0000-0000-0000B5030000}"/>
    <cellStyle name="Check Cell" xfId="958" xr:uid="{00000000-0005-0000-0000-0000B6030000}"/>
    <cellStyle name="Comma [0]" xfId="3" builtinId="6"/>
    <cellStyle name="Date" xfId="959" xr:uid="{00000000-0005-0000-0000-0000B8030000}"/>
    <cellStyle name="Explanatory Text" xfId="960" xr:uid="{00000000-0005-0000-0000-0000B9030000}"/>
    <cellStyle name="Fixed" xfId="961" xr:uid="{00000000-0005-0000-0000-0000BA030000}"/>
    <cellStyle name="Followed Hyperlink" xfId="962" xr:uid="{00000000-0005-0000-0000-0000BB030000}"/>
    <cellStyle name="Good" xfId="963" xr:uid="{00000000-0005-0000-0000-0000BC030000}"/>
    <cellStyle name="Grey" xfId="964" xr:uid="{00000000-0005-0000-0000-0000BD030000}"/>
    <cellStyle name="Header1" xfId="965" xr:uid="{00000000-0005-0000-0000-0000BE030000}"/>
    <cellStyle name="Header2" xfId="966" xr:uid="{00000000-0005-0000-0000-0000BF030000}"/>
    <cellStyle name="Heading 1" xfId="967" xr:uid="{00000000-0005-0000-0000-0000C0030000}"/>
    <cellStyle name="Heading 2" xfId="968" xr:uid="{00000000-0005-0000-0000-0000C1030000}"/>
    <cellStyle name="Heading 3" xfId="969" xr:uid="{00000000-0005-0000-0000-0000C2030000}"/>
    <cellStyle name="Heading 4" xfId="970" xr:uid="{00000000-0005-0000-0000-0000C3030000}"/>
    <cellStyle name="Heading1" xfId="971" xr:uid="{00000000-0005-0000-0000-0000C4030000}"/>
    <cellStyle name="Heading2" xfId="972" xr:uid="{00000000-0005-0000-0000-0000C5030000}"/>
    <cellStyle name="Hyperlink" xfId="973" xr:uid="{00000000-0005-0000-0000-0000C6030000}"/>
    <cellStyle name="Hyperlink 2" xfId="1022" xr:uid="{00000000-0005-0000-0000-0000C7030000}"/>
    <cellStyle name="Hyperlink seguido" xfId="974" xr:uid="{00000000-0005-0000-0000-0000C8030000}"/>
    <cellStyle name="Input" xfId="975" xr:uid="{00000000-0005-0000-0000-0000C9030000}"/>
    <cellStyle name="Input [yellow]" xfId="976" xr:uid="{00000000-0005-0000-0000-0000CA030000}"/>
    <cellStyle name="Linked Cell" xfId="977" xr:uid="{00000000-0005-0000-0000-0000CB030000}"/>
    <cellStyle name="Moeda [0]_aola" xfId="978" xr:uid="{00000000-0005-0000-0000-0000CC030000}"/>
    <cellStyle name="Moeda_aola" xfId="979" xr:uid="{00000000-0005-0000-0000-0000CD030000}"/>
    <cellStyle name="Neutral" xfId="980" xr:uid="{00000000-0005-0000-0000-0000CE030000}"/>
    <cellStyle name="Nnrmal_OTD thru NOR _냉동냉장화물현황" xfId="981" xr:uid="{00000000-0005-0000-0000-0000CF030000}"/>
    <cellStyle name="Normal" xfId="0" builtinId="0"/>
    <cellStyle name="Normal - Style1" xfId="982" xr:uid="{00000000-0005-0000-0000-0000D1030000}"/>
    <cellStyle name="Normal 2" xfId="1021" xr:uid="{00000000-0005-0000-0000-0000D2030000}"/>
    <cellStyle name="Normal_CPO 2차_Feeder RFI(by Feeder)_v0.5" xfId="6" xr:uid="{00000000-0005-0000-0000-0000D3030000}"/>
    <cellStyle name="Normal_RFI_KOR" xfId="7" xr:uid="{00000000-0005-0000-0000-0000D4030000}"/>
    <cellStyle name="Note" xfId="983" xr:uid="{00000000-0005-0000-0000-0000D5030000}"/>
    <cellStyle name="Output" xfId="984" xr:uid="{00000000-0005-0000-0000-0000D6030000}"/>
    <cellStyle name="Percent" xfId="4" builtinId="5"/>
    <cellStyle name="Percent [2]" xfId="985" xr:uid="{00000000-0005-0000-0000-0000D8030000}"/>
    <cellStyle name="PSChar" xfId="986" xr:uid="{00000000-0005-0000-0000-0000D9030000}"/>
    <cellStyle name="PSDate" xfId="987" xr:uid="{00000000-0005-0000-0000-0000DA030000}"/>
    <cellStyle name="PSDec" xfId="988" xr:uid="{00000000-0005-0000-0000-0000DB030000}"/>
    <cellStyle name="PSHeading" xfId="989" xr:uid="{00000000-0005-0000-0000-0000DC030000}"/>
    <cellStyle name="PSInt" xfId="990" xr:uid="{00000000-0005-0000-0000-0000DD030000}"/>
    <cellStyle name="PSSpacer" xfId="991" xr:uid="{00000000-0005-0000-0000-0000DE030000}"/>
    <cellStyle name="Separador de milhares [0]_Person" xfId="992" xr:uid="{00000000-0005-0000-0000-0000DF030000}"/>
    <cellStyle name="Separador de milhares_Person" xfId="993" xr:uid="{00000000-0005-0000-0000-0000E0030000}"/>
    <cellStyle name="Title" xfId="994" xr:uid="{00000000-0005-0000-0000-0000E1030000}"/>
    <cellStyle name="Total" xfId="995" xr:uid="{00000000-0005-0000-0000-0000E2030000}"/>
    <cellStyle name="Warning Text" xfId="996" xr:uid="{00000000-0005-0000-0000-0000E3030000}"/>
    <cellStyle name="뒤에 오는 하이퍼링크" xfId="997" xr:uid="{00000000-0005-0000-0000-0000E4030000}"/>
    <cellStyle name="똿뗦먛귟 [0.00]_PRODUCT DETAIL Q1" xfId="998" xr:uid="{00000000-0005-0000-0000-0000E5030000}"/>
    <cellStyle name="똿뗦먛귟_NT Server " xfId="999" xr:uid="{00000000-0005-0000-0000-0000E6030000}"/>
    <cellStyle name="믅됞 [0.00]_NT Server " xfId="1000" xr:uid="{00000000-0005-0000-0000-0000E7030000}"/>
    <cellStyle name="믅됞_NT Server " xfId="1001" xr:uid="{00000000-0005-0000-0000-0000E8030000}"/>
    <cellStyle name="백분율 2" xfId="1002" xr:uid="{00000000-0005-0000-0000-0000E9030000}"/>
    <cellStyle name="백분율 3" xfId="1003" xr:uid="{00000000-0005-0000-0000-0000EA030000}"/>
    <cellStyle name="뷭?_빟랹둴봃섟 " xfId="1004" xr:uid="{00000000-0005-0000-0000-0000EB030000}"/>
    <cellStyle name="뷭_x0002__?BU NOR COMMENTS_업체LIST (2)" xfId="1005" xr:uid="{00000000-0005-0000-0000-0000EC030000}"/>
    <cellStyle name="쉼표 [0] 2" xfId="1006" xr:uid="{00000000-0005-0000-0000-0000ED030000}"/>
    <cellStyle name="쉼표 [0] 3" xfId="1007" xr:uid="{00000000-0005-0000-0000-0000EE030000}"/>
    <cellStyle name="쉼표 [0] 4" xfId="1008" xr:uid="{00000000-0005-0000-0000-0000EF030000}"/>
    <cellStyle name="스타일 1" xfId="1009" xr:uid="{00000000-0005-0000-0000-0000F0030000}"/>
    <cellStyle name="콤마 [0]_  RANGE " xfId="1010" xr:uid="{00000000-0005-0000-0000-0000F1030000}"/>
    <cellStyle name="콤마_  RANGE " xfId="1011" xr:uid="{00000000-0005-0000-0000-0000F2030000}"/>
    <cellStyle name="통화 [0] 2" xfId="1012" xr:uid="{00000000-0005-0000-0000-0000F3030000}"/>
    <cellStyle name="표준 2" xfId="1013" xr:uid="{00000000-0005-0000-0000-0000F4030000}"/>
    <cellStyle name="표준 2 2" xfId="1014" xr:uid="{00000000-0005-0000-0000-0000F5030000}"/>
    <cellStyle name="표준 2 2 2_항영_영업사원용_일일영업일지(양식)" xfId="1015" xr:uid="{00000000-0005-0000-0000-0000F6030000}"/>
    <cellStyle name="표준 2 2_항영_영업사원용_일일영업일지(양식)" xfId="1016" xr:uid="{00000000-0005-0000-0000-0000F7030000}"/>
    <cellStyle name="표준 2_2.2.3.1업무 프로세서(의왕)" xfId="1017" xr:uid="{00000000-0005-0000-0000-0000F8030000}"/>
    <cellStyle name="표준 3" xfId="1018" xr:uid="{00000000-0005-0000-0000-0000F9030000}"/>
    <cellStyle name="표준 4" xfId="2" xr:uid="{00000000-0005-0000-0000-0000FA030000}"/>
    <cellStyle name="표준 4 2" xfId="1019" xr:uid="{00000000-0005-0000-0000-0000FB030000}"/>
    <cellStyle name="표준 5" xfId="1020" xr:uid="{00000000-0005-0000-0000-0000FC030000}"/>
    <cellStyle name="표준_PR Form(20050115)" xfId="1" xr:uid="{00000000-0005-0000-0000-0000FD030000}"/>
    <cellStyle name="표준_Sheet2" xfId="1023" xr:uid="{00000000-0005-0000-0000-0000FE030000}"/>
    <cellStyle name="표준_구매 Policy_운영_Template_벌크하역" xfId="5" xr:uid="{00000000-0005-0000-0000-0000FF03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4.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3.xml"/><Relationship Id="rId4" Type="http://schemas.openxmlformats.org/officeDocument/2006/relationships/worksheet" Target="worksheets/sheet4.xml"/><Relationship Id="rId9" Type="http://schemas.openxmlformats.org/officeDocument/2006/relationships/externalLink" Target="externalLinks/externalLink2.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3</xdr:col>
      <xdr:colOff>313764</xdr:colOff>
      <xdr:row>32</xdr:row>
      <xdr:rowOff>168089</xdr:rowOff>
    </xdr:from>
    <xdr:to>
      <xdr:col>7</xdr:col>
      <xdr:colOff>85592</xdr:colOff>
      <xdr:row>37</xdr:row>
      <xdr:rowOff>25610</xdr:rowOff>
    </xdr:to>
    <xdr:pic>
      <xdr:nvPicPr>
        <xdr:cNvPr id="2" name="그림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2779058" y="10320618"/>
          <a:ext cx="5542858" cy="131428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10</xdr:col>
      <xdr:colOff>352425</xdr:colOff>
      <xdr:row>0</xdr:row>
      <xdr:rowOff>104775</xdr:rowOff>
    </xdr:from>
    <xdr:to>
      <xdr:col>12</xdr:col>
      <xdr:colOff>383669</xdr:colOff>
      <xdr:row>0</xdr:row>
      <xdr:rowOff>473584</xdr:rowOff>
    </xdr:to>
    <xdr:pic>
      <xdr:nvPicPr>
        <xdr:cNvPr id="3" name="Picture 2">
          <a:extLst>
            <a:ext uri="{FF2B5EF4-FFF2-40B4-BE49-F238E27FC236}">
              <a16:creationId xmlns:a16="http://schemas.microsoft.com/office/drawing/2014/main" id="{F3E906D3-272C-48B9-8902-D7390A9D0D6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47690" y="104775"/>
          <a:ext cx="920991" cy="368809"/>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51060;&#47749;&#51088;\&#51088;&#50556;\new\&#49688;&#46020;&#44428;&#50900;&#44036;&#54924;&#51032;\6&#50900;\Book1.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44608;&#51652;&#49688;/My%20Documents/&#51089;&#50629;/Iso9001/ISO-2004/INSTRUCTION/2/&#54532;&#47196;&#49464;&#49828;&#47605;.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2001&#50504;&#50577;&#49849;(&#44400;&#54252;)/&#54788;&#45824;&#54856;&#49660;&#54609;/&#50629;&#47924;PM/5&#51204;&#45812;&#44288;&#47532;2.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A:\&#54637;&#44277;ProcessMap(&#52572;&#51333;&#5403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ok1"/>
      <sheetName val="9-1차이내역"/>
      <sheetName val="#REF"/>
      <sheetName val="Sheet1"/>
    </sheetNames>
    <definedNames>
      <definedName name="conb1"/>
      <definedName name="conb10"/>
      <definedName name="conb100"/>
      <definedName name="conb101"/>
      <definedName name="conb102"/>
      <definedName name="conb103"/>
      <definedName name="conb104"/>
      <definedName name="conb105"/>
      <definedName name="conb106"/>
      <definedName name="conb107"/>
      <definedName name="conb108"/>
      <definedName name="conb109"/>
      <definedName name="conb11"/>
      <definedName name="conb110"/>
      <definedName name="conb111"/>
      <definedName name="conb112"/>
      <definedName name="conb113"/>
      <definedName name="conb114"/>
      <definedName name="conb115"/>
      <definedName name="conb116"/>
      <definedName name="conb117"/>
      <definedName name="conb118"/>
      <definedName name="conb119"/>
      <definedName name="conb12"/>
      <definedName name="conb120"/>
      <definedName name="conb121"/>
      <definedName name="conb13"/>
      <definedName name="conb14"/>
      <definedName name="conb15"/>
      <definedName name="conb16"/>
      <definedName name="conb17"/>
      <definedName name="conb18"/>
      <definedName name="conb19"/>
      <definedName name="conb2"/>
      <definedName name="conb20"/>
      <definedName name="conb21"/>
      <definedName name="conb22"/>
      <definedName name="conb23"/>
      <definedName name="conb24"/>
      <definedName name="conb25"/>
      <definedName name="conb26"/>
      <definedName name="conb27"/>
      <definedName name="conb28"/>
      <definedName name="conb29"/>
      <definedName name="conb3"/>
      <definedName name="conb30"/>
      <definedName name="conb31"/>
      <definedName name="conb33"/>
      <definedName name="conb34"/>
      <definedName name="conb36"/>
      <definedName name="conb37"/>
      <definedName name="conb38"/>
      <definedName name="conb39"/>
      <definedName name="conb4"/>
      <definedName name="conb40"/>
      <definedName name="conb41"/>
      <definedName name="conb42"/>
      <definedName name="conb43"/>
      <definedName name="conb44"/>
      <definedName name="conb45"/>
      <definedName name="conb46"/>
      <definedName name="conb47"/>
      <definedName name="conb48"/>
      <definedName name="conb49"/>
      <definedName name="conb5"/>
      <definedName name="conb50"/>
      <definedName name="conb51"/>
      <definedName name="conb52"/>
      <definedName name="conb53"/>
      <definedName name="conb54"/>
      <definedName name="conb55"/>
      <definedName name="conb58"/>
      <definedName name="conb59"/>
      <definedName name="conb6"/>
      <definedName name="conb60"/>
      <definedName name="conb61"/>
      <definedName name="conb62"/>
      <definedName name="conb63"/>
      <definedName name="conb64"/>
      <definedName name="conb65"/>
      <definedName name="conb66"/>
      <definedName name="conb67"/>
      <definedName name="conb68"/>
      <definedName name="conb69"/>
      <definedName name="conb7"/>
      <definedName name="conb70"/>
      <definedName name="conb71"/>
      <definedName name="conb72"/>
      <definedName name="conb73"/>
      <definedName name="conb74"/>
      <definedName name="conb75"/>
      <definedName name="conb76"/>
      <definedName name="conb77"/>
      <definedName name="conb78"/>
      <definedName name="conb79"/>
      <definedName name="conb8"/>
      <definedName name="conb80"/>
      <definedName name="conb81"/>
      <definedName name="conb82"/>
      <definedName name="conb83"/>
      <definedName name="conb84"/>
      <definedName name="conb85"/>
      <definedName name="conb86"/>
      <definedName name="conb87"/>
      <definedName name="conb88"/>
      <definedName name="conb89"/>
      <definedName name="conb9"/>
      <definedName name="conb90"/>
      <definedName name="conb91"/>
      <definedName name="conb92"/>
      <definedName name="conb93"/>
      <definedName name="conb94"/>
      <definedName name="conb95"/>
      <definedName name="conb96"/>
      <definedName name="conb97"/>
      <definedName name="conb98"/>
      <definedName name="conb99"/>
      <definedName name="골라인쇄"/>
      <definedName name="진짜살림"/>
      <definedName name="취소"/>
    </definedNames>
    <sheetDataSet>
      <sheetData sheetId="0" refreshError="1"/>
      <sheetData sheetId="1" refreshError="1"/>
      <sheetData sheetId="2" refreshError="1"/>
      <sheetData sheetId="3"/>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교육훈련출석표"/>
      <sheetName val="회의록"/>
      <sheetName val="계약검토서"/>
      <sheetName val="체크리스트"/>
      <sheetName val="감사보고서"/>
      <sheetName val="감사회의록"/>
      <sheetName val="Process-Map(수출)"/>
      <sheetName val="공항수출Process"/>
      <sheetName val="Process-Map(수입)"/>
      <sheetName val="공항수입process"/>
      <sheetName val="계열사화주"/>
      <sheetName val="CREDIT화주"/>
      <sheetName val="계열사화주코드"/>
      <sheetName val="보세운송Process"/>
      <sheetName val="창고관리업무"/>
      <sheetName val="HHI &amp; 삼호중공업자재수급현황"/>
      <sheetName val="일일자재수급현황"/>
      <sheetName val="일일PU예정"/>
      <sheetName val="고객상담일지"/>
      <sheetName val="견적서"/>
      <sheetName val="개인별 업체관리양식"/>
      <sheetName val="고객불만"/>
      <sheetName val="Credit request"/>
      <sheetName val="항공운송계약서"/>
    </sheetNames>
    <sheetDataSet>
      <sheetData sheetId="0"/>
      <sheetData sheetId="1"/>
      <sheetData sheetId="2"/>
      <sheetData sheetId="3"/>
      <sheetData sheetId="4"/>
      <sheetData sheetId="5"/>
      <sheetData sheetId="6"/>
      <sheetData sheetId="7"/>
      <sheetData sheetId="8">
        <row r="162">
          <cell r="C162" t="str">
            <v>PRE-ALERT접수</v>
          </cell>
        </row>
        <row r="188">
          <cell r="C188" t="str">
            <v>항공운임 청구 지침</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전담운영안"/>
      <sheetName val="별첨1_전담도크현황"/>
      <sheetName val="별첨3_전담차량업무지침"/>
      <sheetName val="영업사원준수사항"/>
      <sheetName val="별첨4_전담운영PM(1)"/>
      <sheetName val="차량실적1"/>
      <sheetName val="반품발송1"/>
      <sheetName val="물품수량1"/>
      <sheetName val="배송실적1"/>
      <sheetName val="반품근거1"/>
      <sheetName val="전담마감1"/>
      <sheetName val="VXX"/>
    </sheetNames>
    <sheetDataSet>
      <sheetData sheetId="0"/>
      <sheetData sheetId="1"/>
      <sheetData sheetId="2"/>
      <sheetData sheetId="3"/>
      <sheetData sheetId="4"/>
      <sheetData sheetId="5"/>
      <sheetData sheetId="6"/>
      <sheetData sheetId="7"/>
      <sheetData sheetId="8"/>
      <sheetData sheetId="9"/>
      <sheetData sheetId="10"/>
      <sheetData sheetId="1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출FLOW (부산사무소)"/>
      <sheetName val="수입FLOW (부산사무소)"/>
      <sheetName val="항공운송계약서"/>
      <sheetName val="Credit request"/>
      <sheetName val="창고관리업무"/>
      <sheetName val="고객상담일지"/>
      <sheetName val="견적서"/>
      <sheetName val="개인별 업체관리양식"/>
      <sheetName val="공급자평가"/>
      <sheetName val="HHI AS 자재수급현황"/>
      <sheetName val="일일 PU 예정"/>
      <sheetName val="포장회사선정기준표"/>
      <sheetName val="부적합화물처리"/>
      <sheetName val="고객불만"/>
      <sheetName val="9-1차이내역"/>
      <sheetName val="#REF"/>
      <sheetName val="Sheet1"/>
      <sheetName val="점수표"/>
      <sheetName val="수입"/>
      <sheetName val="지점비용"/>
      <sheetName val="환율"/>
      <sheetName val="차수"/>
      <sheetName val="손익분석"/>
      <sheetName val="반송화물처리"/>
      <sheetName val="항공ProcessMap(최종판)"/>
      <sheetName val="산정기준"/>
      <sheetName val="Process-Map(수출)"/>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Y46"/>
  <sheetViews>
    <sheetView showGridLines="0" topLeftCell="B1" zoomScale="85" zoomScaleNormal="85" zoomScaleSheetLayoutView="85" workbookViewId="0">
      <selection activeCell="B1" sqref="B1:G1"/>
    </sheetView>
  </sheetViews>
  <sheetFormatPr defaultColWidth="8.8984375" defaultRowHeight="17.399999999999999"/>
  <cols>
    <col min="1" max="1" width="8.8984375" style="25" hidden="1" customWidth="1"/>
    <col min="2" max="2" width="11.59765625" style="25" customWidth="1"/>
    <col min="3" max="3" width="17.19921875" style="26" bestFit="1" customWidth="1"/>
    <col min="4" max="4" width="29.796875" style="26" customWidth="1"/>
    <col min="5" max="6" width="11.796875" style="26" customWidth="1"/>
    <col min="7" max="7" width="14" style="26" customWidth="1"/>
    <col min="8" max="16384" width="8.8984375" style="25"/>
  </cols>
  <sheetData>
    <row r="1" spans="1:25" ht="42.75" customHeight="1">
      <c r="B1" s="211" t="s">
        <v>85</v>
      </c>
      <c r="C1" s="211"/>
      <c r="D1" s="211"/>
      <c r="E1" s="211"/>
      <c r="F1" s="211"/>
      <c r="G1" s="211"/>
      <c r="H1" s="1"/>
      <c r="I1" s="1"/>
      <c r="J1" s="1"/>
      <c r="K1" s="1"/>
      <c r="L1" s="1"/>
      <c r="M1" s="1"/>
      <c r="N1" s="1"/>
      <c r="O1" s="1"/>
      <c r="P1" s="1"/>
      <c r="Q1" s="1"/>
      <c r="R1" s="1"/>
      <c r="S1" s="1"/>
      <c r="T1" s="1"/>
      <c r="U1" s="1"/>
      <c r="V1" s="1"/>
      <c r="W1" s="1"/>
      <c r="X1" s="1"/>
      <c r="Y1" s="1"/>
    </row>
    <row r="2" spans="1:25" ht="22.5" customHeight="1">
      <c r="B2" s="1"/>
      <c r="C2" s="1"/>
      <c r="D2" s="1"/>
      <c r="E2" s="1"/>
      <c r="F2" s="1"/>
      <c r="G2" s="1"/>
      <c r="H2" s="1"/>
      <c r="I2" s="1"/>
      <c r="J2" s="1"/>
      <c r="K2" s="1"/>
      <c r="L2" s="1"/>
      <c r="M2" s="1"/>
      <c r="N2" s="1"/>
      <c r="O2" s="1"/>
      <c r="P2" s="1"/>
      <c r="Q2" s="1"/>
      <c r="R2" s="1"/>
      <c r="S2" s="1"/>
      <c r="T2" s="1"/>
      <c r="U2" s="1"/>
      <c r="V2" s="1"/>
      <c r="W2" s="1"/>
      <c r="X2" s="1"/>
      <c r="Y2" s="1"/>
    </row>
    <row r="3" spans="1:25" s="24" customFormat="1" ht="22.5" customHeight="1">
      <c r="B3" s="114" t="s">
        <v>77</v>
      </c>
      <c r="C3" s="115"/>
      <c r="D3" s="116"/>
      <c r="E3" s="114"/>
      <c r="F3" s="116"/>
      <c r="G3" s="116"/>
    </row>
    <row r="4" spans="1:25" s="24" customFormat="1" ht="22.5" customHeight="1">
      <c r="B4" s="114" t="s">
        <v>78</v>
      </c>
      <c r="C4" s="115"/>
      <c r="D4" s="116"/>
      <c r="E4" s="116"/>
      <c r="F4" s="116"/>
      <c r="G4" s="116"/>
    </row>
    <row r="5" spans="1:25" s="24" customFormat="1" ht="22.5" customHeight="1">
      <c r="B5" s="114" t="s">
        <v>79</v>
      </c>
      <c r="C5" s="115"/>
      <c r="D5" s="116"/>
      <c r="E5" s="116"/>
      <c r="F5" s="116"/>
      <c r="G5" s="116"/>
    </row>
    <row r="6" spans="1:25" s="24" customFormat="1" ht="22.5" customHeight="1">
      <c r="B6" s="114" t="s">
        <v>80</v>
      </c>
      <c r="C6" s="115"/>
      <c r="D6" s="116"/>
      <c r="E6" s="116"/>
      <c r="F6" s="116"/>
      <c r="G6" s="116"/>
    </row>
    <row r="7" spans="1:25" s="24" customFormat="1" ht="5.0999999999999996" customHeight="1">
      <c r="B7" s="117"/>
      <c r="C7" s="115"/>
      <c r="D7" s="116"/>
      <c r="E7" s="116"/>
      <c r="F7" s="116"/>
      <c r="G7" s="116"/>
    </row>
    <row r="8" spans="1:25" s="24" customFormat="1" ht="22.5" customHeight="1" thickBot="1">
      <c r="B8" s="118" t="s">
        <v>94</v>
      </c>
      <c r="C8" s="119"/>
      <c r="D8" s="119"/>
      <c r="E8" s="119"/>
      <c r="F8" s="120"/>
      <c r="G8" s="120"/>
    </row>
    <row r="9" spans="1:25" ht="22.5" customHeight="1">
      <c r="B9" s="212" t="s">
        <v>232</v>
      </c>
      <c r="C9" s="214" t="s">
        <v>233</v>
      </c>
      <c r="D9" s="214" t="s">
        <v>234</v>
      </c>
      <c r="E9" s="195" t="s">
        <v>235</v>
      </c>
      <c r="F9" s="195" t="s">
        <v>236</v>
      </c>
      <c r="G9" s="197" t="s">
        <v>237</v>
      </c>
    </row>
    <row r="10" spans="1:25" ht="22.5" customHeight="1">
      <c r="B10" s="213"/>
      <c r="C10" s="215"/>
      <c r="D10" s="215"/>
      <c r="E10" s="196"/>
      <c r="F10" s="196"/>
      <c r="G10" s="198"/>
      <c r="K10" s="110"/>
      <c r="L10" s="110"/>
    </row>
    <row r="11" spans="1:25" ht="22.5" customHeight="1">
      <c r="A11" s="25">
        <v>1</v>
      </c>
      <c r="B11" s="199" t="s">
        <v>83</v>
      </c>
      <c r="C11" s="121" t="s">
        <v>179</v>
      </c>
      <c r="D11" s="122" t="s">
        <v>238</v>
      </c>
      <c r="E11" s="123">
        <f>VLOOKUP($A11,'Supplier Assessment'!$H$8:$J$1000,3,FALSE)</f>
        <v>5</v>
      </c>
      <c r="F11" s="123">
        <f>VLOOKUP($A11,'Supplier Assessment'!$H$8:$J$1000,2,FALSE)</f>
        <v>0</v>
      </c>
      <c r="G11" s="124"/>
      <c r="K11" s="111"/>
      <c r="L11" s="110"/>
    </row>
    <row r="12" spans="1:25" ht="22.5" customHeight="1">
      <c r="A12" s="25">
        <v>2</v>
      </c>
      <c r="B12" s="200"/>
      <c r="C12" s="125" t="s">
        <v>239</v>
      </c>
      <c r="D12" s="126" t="s">
        <v>240</v>
      </c>
      <c r="E12" s="127">
        <f>VLOOKUP($A12,'Supplier Assessment'!$H$8:$J$1000,3,FALSE)</f>
        <v>5</v>
      </c>
      <c r="F12" s="127">
        <f>VLOOKUP($A12,'Supplier Assessment'!$H$8:$J$1000,2,FALSE)</f>
        <v>0</v>
      </c>
      <c r="G12" s="128"/>
      <c r="K12" s="110"/>
      <c r="L12" s="110"/>
    </row>
    <row r="13" spans="1:25" ht="22.5" customHeight="1">
      <c r="A13" s="25">
        <v>3</v>
      </c>
      <c r="B13" s="200"/>
      <c r="C13" s="125" t="s">
        <v>180</v>
      </c>
      <c r="D13" s="126" t="s">
        <v>241</v>
      </c>
      <c r="E13" s="127">
        <f>VLOOKUP($A13,'Supplier Assessment'!$H$8:$J$1000,3,FALSE)</f>
        <v>5</v>
      </c>
      <c r="F13" s="127">
        <f>VLOOKUP($A13,'Supplier Assessment'!$H$8:$J$1000,2,FALSE)</f>
        <v>0</v>
      </c>
      <c r="G13" s="128"/>
      <c r="K13" s="110"/>
      <c r="L13" s="110"/>
    </row>
    <row r="14" spans="1:25" ht="22.5" customHeight="1">
      <c r="A14" s="25">
        <v>4</v>
      </c>
      <c r="B14" s="200"/>
      <c r="C14" s="129" t="s">
        <v>181</v>
      </c>
      <c r="D14" s="126" t="s">
        <v>242</v>
      </c>
      <c r="E14" s="127">
        <f>VLOOKUP($A14,'Supplier Assessment'!$H$8:$J$1000,3,FALSE)</f>
        <v>5</v>
      </c>
      <c r="F14" s="127">
        <f>VLOOKUP($A14,'Supplier Assessment'!$H$8:$J$1000,2,FALSE)</f>
        <v>0</v>
      </c>
      <c r="G14" s="128"/>
      <c r="L14"/>
    </row>
    <row r="15" spans="1:25" ht="22.5" customHeight="1">
      <c r="B15" s="200"/>
      <c r="C15" s="201" t="s">
        <v>243</v>
      </c>
      <c r="D15" s="201"/>
      <c r="E15" s="130">
        <f>SUM(E11:E14)</f>
        <v>20</v>
      </c>
      <c r="F15" s="130">
        <f>SUM(F11:F14)</f>
        <v>0</v>
      </c>
      <c r="G15" s="131"/>
    </row>
    <row r="16" spans="1:25" ht="22.5" customHeight="1">
      <c r="A16" s="25">
        <v>5</v>
      </c>
      <c r="B16" s="199" t="s">
        <v>84</v>
      </c>
      <c r="C16" s="132" t="s">
        <v>182</v>
      </c>
      <c r="D16" s="122" t="s">
        <v>244</v>
      </c>
      <c r="E16" s="123">
        <f>VLOOKUP($A16,'Supplier Assessment'!$H$8:$J$1000,3,FALSE)</f>
        <v>20</v>
      </c>
      <c r="F16" s="123">
        <f>VLOOKUP($A16,'Supplier Assessment'!$H$8:$J$1000,2,FALSE)</f>
        <v>0</v>
      </c>
      <c r="G16" s="124"/>
    </row>
    <row r="17" spans="1:13" ht="22.5" customHeight="1">
      <c r="A17" s="25">
        <v>6</v>
      </c>
      <c r="B17" s="200"/>
      <c r="C17" s="208" t="s">
        <v>183</v>
      </c>
      <c r="D17" s="126" t="s">
        <v>245</v>
      </c>
      <c r="E17" s="127">
        <f>VLOOKUP($A17,'Supplier Assessment'!$H$8:$J$1000,3,FALSE)</f>
        <v>5</v>
      </c>
      <c r="F17" s="127">
        <f>VLOOKUP($A17,'Supplier Assessment'!$H$8:$J$1000,2,FALSE)</f>
        <v>0</v>
      </c>
      <c r="G17" s="128"/>
    </row>
    <row r="18" spans="1:13" ht="22.5" customHeight="1">
      <c r="A18" s="25">
        <v>7</v>
      </c>
      <c r="B18" s="200"/>
      <c r="C18" s="208"/>
      <c r="D18" s="126" t="s">
        <v>246</v>
      </c>
      <c r="E18" s="127">
        <f>VLOOKUP($A18,'Supplier Assessment'!$H$8:$J$1000,3,FALSE)</f>
        <v>5</v>
      </c>
      <c r="F18" s="127">
        <f>VLOOKUP($A18,'Supplier Assessment'!$H$8:$J$1000,2,FALSE)</f>
        <v>0</v>
      </c>
      <c r="G18" s="128"/>
    </row>
    <row r="19" spans="1:13" ht="22.5" customHeight="1">
      <c r="A19" s="25">
        <v>8</v>
      </c>
      <c r="B19" s="200"/>
      <c r="C19" s="208" t="s">
        <v>184</v>
      </c>
      <c r="D19" s="126" t="s">
        <v>247</v>
      </c>
      <c r="E19" s="127">
        <f>VLOOKUP($A19,'Supplier Assessment'!$H$8:$J$1000,3,FALSE)</f>
        <v>5</v>
      </c>
      <c r="F19" s="127">
        <f>VLOOKUP($A19,'Supplier Assessment'!$H$8:$J$1000,2,FALSE)</f>
        <v>0</v>
      </c>
      <c r="G19" s="128"/>
    </row>
    <row r="20" spans="1:13" ht="22.5" customHeight="1">
      <c r="A20" s="25">
        <v>9</v>
      </c>
      <c r="B20" s="200"/>
      <c r="C20" s="208"/>
      <c r="D20" s="133" t="s">
        <v>248</v>
      </c>
      <c r="E20" s="127">
        <f>VLOOKUP($A20,'Supplier Assessment'!$H$8:$J$1000,3,FALSE)</f>
        <v>5</v>
      </c>
      <c r="F20" s="127">
        <f>VLOOKUP($A20,'Supplier Assessment'!$H$8:$J$1000,2,FALSE)</f>
        <v>0</v>
      </c>
      <c r="G20" s="128"/>
    </row>
    <row r="21" spans="1:13" ht="22.5" customHeight="1">
      <c r="A21" s="25">
        <v>10</v>
      </c>
      <c r="B21" s="200"/>
      <c r="C21" s="208"/>
      <c r="D21" s="133" t="s">
        <v>249</v>
      </c>
      <c r="E21" s="127">
        <f>VLOOKUP($A21,'Supplier Assessment'!$H$8:$J$1000,3,FALSE)</f>
        <v>5</v>
      </c>
      <c r="F21" s="127">
        <f>VLOOKUP($A21,'Supplier Assessment'!$H$8:$J$1000,2,FALSE)</f>
        <v>0</v>
      </c>
      <c r="G21" s="128"/>
    </row>
    <row r="22" spans="1:13" ht="22.5" customHeight="1">
      <c r="A22" s="25">
        <v>11</v>
      </c>
      <c r="B22" s="200"/>
      <c r="C22" s="208"/>
      <c r="D22" s="133" t="s">
        <v>250</v>
      </c>
      <c r="E22" s="127">
        <f>VLOOKUP($A22,'Supplier Assessment'!$H$8:$J$1000,3,FALSE)</f>
        <v>10</v>
      </c>
      <c r="F22" s="127">
        <f>VLOOKUP($A22,'Supplier Assessment'!$H$8:$J$1000,2,FALSE)</f>
        <v>0</v>
      </c>
      <c r="G22" s="128"/>
    </row>
    <row r="23" spans="1:13" ht="22.5" customHeight="1">
      <c r="A23" s="25">
        <v>12</v>
      </c>
      <c r="B23" s="200"/>
      <c r="C23" s="208"/>
      <c r="D23" s="133" t="s">
        <v>251</v>
      </c>
      <c r="E23" s="127">
        <f>VLOOKUP($A23,'Supplier Assessment'!$H$8:$J$1000,3,FALSE)</f>
        <v>10</v>
      </c>
      <c r="F23" s="127">
        <f>VLOOKUP($A23,'Supplier Assessment'!$H$8:$J$1000,2,FALSE)</f>
        <v>0</v>
      </c>
      <c r="G23" s="128"/>
    </row>
    <row r="24" spans="1:13" ht="22.5" customHeight="1">
      <c r="A24" s="25">
        <v>13</v>
      </c>
      <c r="B24" s="200"/>
      <c r="C24" s="209" t="s">
        <v>185</v>
      </c>
      <c r="D24" s="133" t="s">
        <v>252</v>
      </c>
      <c r="E24" s="127">
        <f>VLOOKUP($A24,'Supplier Assessment'!$H$8:$J$1000,3,FALSE)</f>
        <v>5</v>
      </c>
      <c r="F24" s="127">
        <f>VLOOKUP($A24,'Supplier Assessment'!$H$8:$J$1000,2,FALSE)</f>
        <v>0</v>
      </c>
      <c r="G24" s="128"/>
    </row>
    <row r="25" spans="1:13" ht="22.5" customHeight="1">
      <c r="A25" s="25">
        <v>14</v>
      </c>
      <c r="B25" s="200"/>
      <c r="C25" s="210"/>
      <c r="D25" s="133" t="s">
        <v>253</v>
      </c>
      <c r="E25" s="127">
        <f>VLOOKUP($A25,'Supplier Assessment'!$H$8:$J$1000,3,FALSE)</f>
        <v>10</v>
      </c>
      <c r="F25" s="127">
        <f>VLOOKUP($A25,'Supplier Assessment'!$H$8:$J$1000,2,FALSE)</f>
        <v>0</v>
      </c>
      <c r="G25" s="128"/>
    </row>
    <row r="26" spans="1:13" ht="22.5" customHeight="1">
      <c r="B26" s="200"/>
      <c r="C26" s="201" t="s">
        <v>243</v>
      </c>
      <c r="D26" s="201"/>
      <c r="E26" s="130">
        <f>SUM(E16:E25)</f>
        <v>80</v>
      </c>
      <c r="F26" s="130">
        <f>SUM(F16:F25)</f>
        <v>0</v>
      </c>
      <c r="G26" s="131"/>
      <c r="H26"/>
      <c r="I26"/>
      <c r="J26"/>
      <c r="M26"/>
    </row>
    <row r="27" spans="1:13" ht="22.5" customHeight="1" thickBot="1">
      <c r="B27" s="206" t="s">
        <v>254</v>
      </c>
      <c r="C27" s="207"/>
      <c r="D27" s="207"/>
      <c r="E27" s="134">
        <v>100</v>
      </c>
      <c r="F27" s="134">
        <v>100</v>
      </c>
      <c r="G27" s="135" t="str">
        <f>IF(F27&gt;=80,"Preferred",IF(F27&gt;=60,"Qualified",IF(F27&gt;=40,"Marginal","Unqualified")))</f>
        <v>Preferred</v>
      </c>
      <c r="H27"/>
      <c r="I27"/>
      <c r="J27"/>
      <c r="M27"/>
    </row>
    <row r="28" spans="1:13" ht="22.5" customHeight="1">
      <c r="B28" s="136"/>
      <c r="C28" s="116"/>
      <c r="D28" s="116"/>
      <c r="E28" s="116"/>
      <c r="F28" s="116"/>
      <c r="G28" s="116"/>
      <c r="H28"/>
      <c r="I28"/>
      <c r="J28"/>
      <c r="M28"/>
    </row>
    <row r="29" spans="1:13" ht="22.5" customHeight="1" thickBot="1">
      <c r="B29" s="118" t="s">
        <v>95</v>
      </c>
      <c r="C29" s="119"/>
      <c r="D29" s="119"/>
      <c r="E29" s="119"/>
      <c r="F29" s="120"/>
      <c r="G29" s="120"/>
      <c r="H29"/>
      <c r="I29"/>
      <c r="J29"/>
      <c r="M29"/>
    </row>
    <row r="30" spans="1:13" ht="22.5" customHeight="1">
      <c r="B30" s="193" t="s">
        <v>255</v>
      </c>
      <c r="C30" s="202" t="s">
        <v>256</v>
      </c>
      <c r="D30" s="203"/>
      <c r="E30" s="195" t="s">
        <v>257</v>
      </c>
      <c r="F30" s="195" t="s">
        <v>258</v>
      </c>
      <c r="G30" s="197" t="s">
        <v>259</v>
      </c>
    </row>
    <row r="31" spans="1:13" ht="22.5" customHeight="1">
      <c r="B31" s="194"/>
      <c r="C31" s="204"/>
      <c r="D31" s="205"/>
      <c r="E31" s="196"/>
      <c r="F31" s="196"/>
      <c r="G31" s="198"/>
    </row>
    <row r="32" spans="1:13" ht="22.5" customHeight="1" thickBot="1">
      <c r="B32" s="137" t="s">
        <v>260</v>
      </c>
      <c r="C32" s="191" t="s">
        <v>261</v>
      </c>
      <c r="D32" s="192"/>
      <c r="E32" s="134">
        <v>100</v>
      </c>
      <c r="F32" s="134">
        <f>HSE!Z15</f>
        <v>100</v>
      </c>
      <c r="G32" s="138" t="str">
        <f>IF(F32&gt;=80,"Preferred",IF(F32&gt;=60,"Qualified",IF(F32&gt;=40,"Marginal","Unqualified")))</f>
        <v>Preferred</v>
      </c>
    </row>
    <row r="33" ht="22.5" customHeight="1"/>
    <row r="34" ht="22.5" customHeight="1"/>
    <row r="35" ht="22.5" customHeight="1"/>
    <row r="36" ht="22.5" customHeight="1"/>
    <row r="37" ht="22.5" customHeight="1"/>
    <row r="38" ht="22.5" customHeight="1"/>
    <row r="39" ht="22.5" customHeight="1"/>
    <row r="40" ht="22.5" customHeight="1"/>
    <row r="41" ht="22.5" customHeight="1"/>
    <row r="42" ht="22.5" customHeight="1"/>
    <row r="43" ht="22.5" customHeight="1"/>
    <row r="44" ht="22.5" customHeight="1"/>
    <row r="45" ht="22.5" customHeight="1"/>
    <row r="46" ht="22.5" customHeight="1"/>
  </sheetData>
  <mergeCells count="21">
    <mergeCell ref="B1:G1"/>
    <mergeCell ref="B9:B10"/>
    <mergeCell ref="C9:C10"/>
    <mergeCell ref="D9:D10"/>
    <mergeCell ref="G9:G10"/>
    <mergeCell ref="F9:F10"/>
    <mergeCell ref="E9:E10"/>
    <mergeCell ref="B11:B15"/>
    <mergeCell ref="C15:D15"/>
    <mergeCell ref="C30:D31"/>
    <mergeCell ref="B27:D27"/>
    <mergeCell ref="B16:B26"/>
    <mergeCell ref="C26:D26"/>
    <mergeCell ref="C17:C18"/>
    <mergeCell ref="C19:C23"/>
    <mergeCell ref="C24:C25"/>
    <mergeCell ref="C32:D32"/>
    <mergeCell ref="B30:B31"/>
    <mergeCell ref="E30:E31"/>
    <mergeCell ref="F30:F31"/>
    <mergeCell ref="G30:G31"/>
  </mergeCells>
  <phoneticPr fontId="6" type="noConversion"/>
  <printOptions horizontalCentered="1"/>
  <pageMargins left="0.39370078740157483" right="0.39370078740157483" top="0.59055118110236227" bottom="0.19685039370078741" header="0.31496062992125984" footer="0.31496062992125984"/>
  <pageSetup paperSize="9" scale="86" fitToHeight="0"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6">
    <pageSetUpPr fitToPage="1"/>
  </sheetPr>
  <dimension ref="C2:J28"/>
  <sheetViews>
    <sheetView showGridLines="0" zoomScale="75" zoomScaleNormal="75" zoomScaleSheetLayoutView="85" workbookViewId="0">
      <selection activeCell="B1" sqref="B1:G1"/>
    </sheetView>
  </sheetViews>
  <sheetFormatPr defaultColWidth="8.8984375" defaultRowHeight="14.4"/>
  <cols>
    <col min="1" max="1" width="1.09765625" style="8" customWidth="1"/>
    <col min="2" max="2" width="1.296875" style="8" customWidth="1"/>
    <col min="3" max="4" width="11.69921875" style="8" customWidth="1"/>
    <col min="5" max="5" width="2.796875" style="8" customWidth="1"/>
    <col min="6" max="6" width="6.296875" style="8" customWidth="1"/>
    <col min="7" max="7" width="51.09765625" style="8" customWidth="1"/>
    <col min="8" max="8" width="67.69921875" style="8" customWidth="1"/>
    <col min="9" max="9" width="8.8984375" style="8"/>
    <col min="10" max="10" width="13.296875" style="8" customWidth="1"/>
    <col min="11" max="11" width="1.09765625" style="8" customWidth="1"/>
    <col min="12" max="16384" width="8.8984375" style="8"/>
  </cols>
  <sheetData>
    <row r="2" spans="3:10" ht="22.2">
      <c r="C2" s="97" t="s">
        <v>92</v>
      </c>
      <c r="D2" s="16"/>
      <c r="E2" s="17"/>
      <c r="F2" s="17"/>
    </row>
    <row r="3" spans="3:10" ht="8.25" customHeight="1" thickBot="1"/>
    <row r="4" spans="3:10" ht="26.4">
      <c r="C4" s="217" t="s">
        <v>24</v>
      </c>
      <c r="D4" s="218"/>
      <c r="E4" s="219"/>
      <c r="F4" s="219"/>
      <c r="G4" s="219"/>
      <c r="H4" s="83" t="s">
        <v>25</v>
      </c>
      <c r="I4" s="82" t="s">
        <v>27</v>
      </c>
      <c r="J4" s="88" t="s">
        <v>26</v>
      </c>
    </row>
    <row r="5" spans="3:10" ht="65.25" customHeight="1">
      <c r="C5" s="233" t="s">
        <v>208</v>
      </c>
      <c r="D5" s="234"/>
      <c r="E5" s="220">
        <v>1</v>
      </c>
      <c r="F5" s="221"/>
      <c r="G5" s="79" t="s">
        <v>209</v>
      </c>
      <c r="H5" s="84" t="s">
        <v>71</v>
      </c>
      <c r="I5" s="28"/>
      <c r="J5" s="89"/>
    </row>
    <row r="6" spans="3:10" ht="108" customHeight="1">
      <c r="C6" s="235"/>
      <c r="D6" s="236"/>
      <c r="E6" s="222">
        <v>2</v>
      </c>
      <c r="F6" s="223"/>
      <c r="G6" s="36" t="s">
        <v>210</v>
      </c>
      <c r="H6" s="85" t="s">
        <v>74</v>
      </c>
      <c r="I6" s="20"/>
      <c r="J6" s="90"/>
    </row>
    <row r="7" spans="3:10" ht="99" customHeight="1">
      <c r="C7" s="235"/>
      <c r="D7" s="236"/>
      <c r="E7" s="222">
        <v>3</v>
      </c>
      <c r="F7" s="223"/>
      <c r="G7" s="36" t="s">
        <v>211</v>
      </c>
      <c r="H7" s="85" t="s">
        <v>75</v>
      </c>
      <c r="I7" s="20"/>
      <c r="J7" s="90"/>
    </row>
    <row r="8" spans="3:10" ht="24" customHeight="1">
      <c r="C8" s="235"/>
      <c r="D8" s="236"/>
      <c r="E8" s="222">
        <v>4</v>
      </c>
      <c r="F8" s="223"/>
      <c r="G8" s="36" t="s">
        <v>212</v>
      </c>
      <c r="H8" s="86"/>
      <c r="I8" s="20"/>
      <c r="J8" s="90"/>
    </row>
    <row r="9" spans="3:10" ht="24" customHeight="1">
      <c r="C9" s="237"/>
      <c r="D9" s="238"/>
      <c r="E9" s="228">
        <v>5</v>
      </c>
      <c r="F9" s="229"/>
      <c r="G9" s="37" t="s">
        <v>213</v>
      </c>
      <c r="H9" s="87"/>
      <c r="I9" s="32"/>
      <c r="J9" s="91"/>
    </row>
    <row r="10" spans="3:10" ht="24" customHeight="1">
      <c r="C10" s="239" t="s">
        <v>76</v>
      </c>
      <c r="D10" s="240"/>
      <c r="E10" s="226">
        <v>1</v>
      </c>
      <c r="F10" s="227"/>
      <c r="G10" s="35" t="s">
        <v>214</v>
      </c>
      <c r="H10" s="27"/>
      <c r="I10" s="28"/>
      <c r="J10" s="29"/>
    </row>
    <row r="11" spans="3:10" ht="45" customHeight="1">
      <c r="C11" s="241"/>
      <c r="D11" s="242"/>
      <c r="E11" s="18"/>
      <c r="F11" s="34">
        <v>1.1000000000000001</v>
      </c>
      <c r="G11" s="36" t="s">
        <v>215</v>
      </c>
      <c r="H11" s="19"/>
      <c r="I11" s="20"/>
      <c r="J11" s="21"/>
    </row>
    <row r="12" spans="3:10" ht="60.75" customHeight="1">
      <c r="C12" s="241"/>
      <c r="D12" s="242"/>
      <c r="E12" s="224">
        <v>2</v>
      </c>
      <c r="F12" s="225"/>
      <c r="G12" s="36" t="s">
        <v>216</v>
      </c>
      <c r="H12" s="78" t="s">
        <v>217</v>
      </c>
      <c r="I12" s="20"/>
      <c r="J12" s="22"/>
    </row>
    <row r="13" spans="3:10" ht="60">
      <c r="C13" s="241"/>
      <c r="D13" s="242"/>
      <c r="E13" s="18"/>
      <c r="F13" s="34">
        <v>2.1</v>
      </c>
      <c r="G13" s="36" t="s">
        <v>218</v>
      </c>
      <c r="H13" s="78" t="s">
        <v>28</v>
      </c>
      <c r="I13" s="20"/>
      <c r="J13" s="22"/>
    </row>
    <row r="14" spans="3:10" ht="90">
      <c r="C14" s="241"/>
      <c r="D14" s="242"/>
      <c r="E14" s="224">
        <v>3</v>
      </c>
      <c r="F14" s="225"/>
      <c r="G14" s="36" t="s">
        <v>219</v>
      </c>
      <c r="H14" s="78" t="s">
        <v>220</v>
      </c>
      <c r="I14" s="20"/>
      <c r="J14" s="22"/>
    </row>
    <row r="15" spans="3:10" ht="24" customHeight="1">
      <c r="C15" s="241"/>
      <c r="D15" s="242"/>
      <c r="E15" s="230">
        <v>4</v>
      </c>
      <c r="F15" s="224"/>
      <c r="G15" s="36" t="s">
        <v>221</v>
      </c>
      <c r="H15" s="19"/>
      <c r="I15" s="20"/>
      <c r="J15" s="22"/>
    </row>
    <row r="16" spans="3:10" ht="42" customHeight="1">
      <c r="C16" s="241"/>
      <c r="D16" s="242"/>
      <c r="E16" s="231">
        <v>5</v>
      </c>
      <c r="F16" s="232"/>
      <c r="G16" s="37" t="s">
        <v>222</v>
      </c>
      <c r="H16" s="81"/>
      <c r="I16" s="32"/>
      <c r="J16" s="33"/>
    </row>
    <row r="17" spans="3:10" ht="129.6">
      <c r="C17" s="241"/>
      <c r="D17" s="242"/>
      <c r="E17" s="226">
        <v>6</v>
      </c>
      <c r="F17" s="227"/>
      <c r="G17" s="79" t="s">
        <v>223</v>
      </c>
      <c r="H17" s="30" t="s">
        <v>72</v>
      </c>
      <c r="I17" s="28"/>
      <c r="J17" s="31"/>
    </row>
    <row r="18" spans="3:10" ht="90">
      <c r="C18" s="241"/>
      <c r="D18" s="242"/>
      <c r="E18" s="230">
        <v>6.1</v>
      </c>
      <c r="F18" s="224"/>
      <c r="G18" s="79" t="s">
        <v>224</v>
      </c>
      <c r="H18" s="80" t="s">
        <v>225</v>
      </c>
      <c r="I18" s="28"/>
      <c r="J18" s="31"/>
    </row>
    <row r="19" spans="3:10" ht="24" customHeight="1">
      <c r="C19" s="241"/>
      <c r="D19" s="242"/>
      <c r="E19" s="230">
        <v>7</v>
      </c>
      <c r="F19" s="224"/>
      <c r="G19" s="36" t="s">
        <v>226</v>
      </c>
      <c r="H19" s="19"/>
      <c r="I19" s="20"/>
      <c r="J19" s="22"/>
    </row>
    <row r="20" spans="3:10" ht="39" customHeight="1">
      <c r="C20" s="241"/>
      <c r="D20" s="242"/>
      <c r="E20" s="230">
        <v>8</v>
      </c>
      <c r="F20" s="224"/>
      <c r="G20" s="36" t="s">
        <v>227</v>
      </c>
      <c r="H20" s="19" t="s">
        <v>73</v>
      </c>
      <c r="I20" s="20"/>
      <c r="J20" s="22"/>
    </row>
    <row r="21" spans="3:10" ht="45">
      <c r="C21" s="241"/>
      <c r="D21" s="242"/>
      <c r="E21" s="230">
        <v>9</v>
      </c>
      <c r="F21" s="224"/>
      <c r="G21" s="36" t="s">
        <v>228</v>
      </c>
      <c r="H21" s="19" t="s">
        <v>229</v>
      </c>
      <c r="I21" s="20"/>
      <c r="J21" s="22"/>
    </row>
    <row r="22" spans="3:10" ht="88.5" customHeight="1">
      <c r="C22" s="243"/>
      <c r="D22" s="244"/>
      <c r="E22" s="231">
        <v>10</v>
      </c>
      <c r="F22" s="232"/>
      <c r="G22" s="37" t="s">
        <v>230</v>
      </c>
      <c r="H22" s="81" t="s">
        <v>231</v>
      </c>
      <c r="I22" s="32"/>
      <c r="J22" s="33"/>
    </row>
    <row r="25" spans="3:10">
      <c r="C25" s="216"/>
      <c r="D25" s="216"/>
      <c r="E25" s="216"/>
      <c r="F25" s="216"/>
      <c r="G25" s="216"/>
    </row>
    <row r="26" spans="3:10" s="23" customFormat="1"/>
    <row r="27" spans="3:10" s="23" customFormat="1"/>
    <row r="28" spans="3:10" s="23" customFormat="1"/>
  </sheetData>
  <mergeCells count="20">
    <mergeCell ref="E19:F19"/>
    <mergeCell ref="E20:F20"/>
    <mergeCell ref="E21:F21"/>
    <mergeCell ref="E18:F18"/>
    <mergeCell ref="C25:G25"/>
    <mergeCell ref="C4:G4"/>
    <mergeCell ref="E5:F5"/>
    <mergeCell ref="E6:F6"/>
    <mergeCell ref="E7:F7"/>
    <mergeCell ref="E12:F12"/>
    <mergeCell ref="E10:F10"/>
    <mergeCell ref="E8:F8"/>
    <mergeCell ref="E9:F9"/>
    <mergeCell ref="E14:F14"/>
    <mergeCell ref="E15:F15"/>
    <mergeCell ref="E22:F22"/>
    <mergeCell ref="C5:D9"/>
    <mergeCell ref="C10:D22"/>
    <mergeCell ref="E16:F16"/>
    <mergeCell ref="E17:F17"/>
  </mergeCells>
  <phoneticPr fontId="13" type="noConversion"/>
  <dataValidations count="1">
    <dataValidation type="list" allowBlank="1" showInputMessage="1" showErrorMessage="1" sqref="I5:I22" xr:uid="{00000000-0002-0000-0100-000000000000}">
      <formula1>"YES,NO,N/A"</formula1>
    </dataValidation>
  </dataValidations>
  <pageMargins left="0.39370078740157483" right="0.23622047244094491" top="0.57999999999999996" bottom="0.35433070866141736" header="0.51181102362204722" footer="0.46"/>
  <pageSetup paperSize="9" scale="48" fitToHeight="0" orientation="portrait" horizontalDpi="300" verticalDpi="300" r:id="rId1"/>
  <headerFooter alignWithMargins="0"/>
  <rowBreaks count="1" manualBreakCount="1">
    <brk id="24" max="9"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J82"/>
  <sheetViews>
    <sheetView showGridLines="0" zoomScale="85" zoomScaleNormal="85" zoomScaleSheetLayoutView="70" workbookViewId="0">
      <selection activeCell="B1" sqref="B1:G1"/>
    </sheetView>
  </sheetViews>
  <sheetFormatPr defaultRowHeight="18" customHeight="1"/>
  <cols>
    <col min="1" max="1" width="2.796875" style="8" customWidth="1"/>
    <col min="2" max="2" width="18.69921875" style="2" customWidth="1"/>
    <col min="3" max="3" width="29" style="2" customWidth="1"/>
    <col min="4" max="4" width="9" style="2" customWidth="1"/>
    <col min="5" max="5" width="44.796875" style="8" customWidth="1"/>
    <col min="6" max="6" width="14.8984375" style="8" customWidth="1"/>
    <col min="7" max="7" width="13.69921875" style="8" customWidth="1"/>
    <col min="8" max="10" width="0" style="112" hidden="1" customWidth="1"/>
    <col min="11" max="249" width="8.8984375" style="8"/>
    <col min="250" max="250" width="2.796875" style="8" customWidth="1"/>
    <col min="251" max="251" width="18.69921875" style="8" customWidth="1"/>
    <col min="252" max="252" width="29" style="8" customWidth="1"/>
    <col min="253" max="253" width="9" style="8" customWidth="1"/>
    <col min="254" max="254" width="44.796875" style="8" customWidth="1"/>
    <col min="255" max="255" width="14.8984375" style="8" customWidth="1"/>
    <col min="256" max="256" width="13.69921875" style="8" customWidth="1"/>
    <col min="257" max="505" width="8.8984375" style="8"/>
    <col min="506" max="506" width="2.796875" style="8" customWidth="1"/>
    <col min="507" max="507" width="18.69921875" style="8" customWidth="1"/>
    <col min="508" max="508" width="29" style="8" customWidth="1"/>
    <col min="509" max="509" width="9" style="8" customWidth="1"/>
    <col min="510" max="510" width="44.796875" style="8" customWidth="1"/>
    <col min="511" max="511" width="14.8984375" style="8" customWidth="1"/>
    <col min="512" max="512" width="13.69921875" style="8" customWidth="1"/>
    <col min="513" max="761" width="8.8984375" style="8"/>
    <col min="762" max="762" width="2.796875" style="8" customWidth="1"/>
    <col min="763" max="763" width="18.69921875" style="8" customWidth="1"/>
    <col min="764" max="764" width="29" style="8" customWidth="1"/>
    <col min="765" max="765" width="9" style="8" customWidth="1"/>
    <col min="766" max="766" width="44.796875" style="8" customWidth="1"/>
    <col min="767" max="767" width="14.8984375" style="8" customWidth="1"/>
    <col min="768" max="768" width="13.69921875" style="8" customWidth="1"/>
    <col min="769" max="1017" width="8.8984375" style="8"/>
    <col min="1018" max="1018" width="2.796875" style="8" customWidth="1"/>
    <col min="1019" max="1019" width="18.69921875" style="8" customWidth="1"/>
    <col min="1020" max="1020" width="29" style="8" customWidth="1"/>
    <col min="1021" max="1021" width="9" style="8" customWidth="1"/>
    <col min="1022" max="1022" width="44.796875" style="8" customWidth="1"/>
    <col min="1023" max="1023" width="14.8984375" style="8" customWidth="1"/>
    <col min="1024" max="1024" width="13.69921875" style="8" customWidth="1"/>
    <col min="1025" max="1273" width="8.8984375" style="8"/>
    <col min="1274" max="1274" width="2.796875" style="8" customWidth="1"/>
    <col min="1275" max="1275" width="18.69921875" style="8" customWidth="1"/>
    <col min="1276" max="1276" width="29" style="8" customWidth="1"/>
    <col min="1277" max="1277" width="9" style="8" customWidth="1"/>
    <col min="1278" max="1278" width="44.796875" style="8" customWidth="1"/>
    <col min="1279" max="1279" width="14.8984375" style="8" customWidth="1"/>
    <col min="1280" max="1280" width="13.69921875" style="8" customWidth="1"/>
    <col min="1281" max="1529" width="8.8984375" style="8"/>
    <col min="1530" max="1530" width="2.796875" style="8" customWidth="1"/>
    <col min="1531" max="1531" width="18.69921875" style="8" customWidth="1"/>
    <col min="1532" max="1532" width="29" style="8" customWidth="1"/>
    <col min="1533" max="1533" width="9" style="8" customWidth="1"/>
    <col min="1534" max="1534" width="44.796875" style="8" customWidth="1"/>
    <col min="1535" max="1535" width="14.8984375" style="8" customWidth="1"/>
    <col min="1536" max="1536" width="13.69921875" style="8" customWidth="1"/>
    <col min="1537" max="1785" width="8.8984375" style="8"/>
    <col min="1786" max="1786" width="2.796875" style="8" customWidth="1"/>
    <col min="1787" max="1787" width="18.69921875" style="8" customWidth="1"/>
    <col min="1788" max="1788" width="29" style="8" customWidth="1"/>
    <col min="1789" max="1789" width="9" style="8" customWidth="1"/>
    <col min="1790" max="1790" width="44.796875" style="8" customWidth="1"/>
    <col min="1791" max="1791" width="14.8984375" style="8" customWidth="1"/>
    <col min="1792" max="1792" width="13.69921875" style="8" customWidth="1"/>
    <col min="1793" max="2041" width="8.8984375" style="8"/>
    <col min="2042" max="2042" width="2.796875" style="8" customWidth="1"/>
    <col min="2043" max="2043" width="18.69921875" style="8" customWidth="1"/>
    <col min="2044" max="2044" width="29" style="8" customWidth="1"/>
    <col min="2045" max="2045" width="9" style="8" customWidth="1"/>
    <col min="2046" max="2046" width="44.796875" style="8" customWidth="1"/>
    <col min="2047" max="2047" width="14.8984375" style="8" customWidth="1"/>
    <col min="2048" max="2048" width="13.69921875" style="8" customWidth="1"/>
    <col min="2049" max="2297" width="8.8984375" style="8"/>
    <col min="2298" max="2298" width="2.796875" style="8" customWidth="1"/>
    <col min="2299" max="2299" width="18.69921875" style="8" customWidth="1"/>
    <col min="2300" max="2300" width="29" style="8" customWidth="1"/>
    <col min="2301" max="2301" width="9" style="8" customWidth="1"/>
    <col min="2302" max="2302" width="44.796875" style="8" customWidth="1"/>
    <col min="2303" max="2303" width="14.8984375" style="8" customWidth="1"/>
    <col min="2304" max="2304" width="13.69921875" style="8" customWidth="1"/>
    <col min="2305" max="2553" width="8.8984375" style="8"/>
    <col min="2554" max="2554" width="2.796875" style="8" customWidth="1"/>
    <col min="2555" max="2555" width="18.69921875" style="8" customWidth="1"/>
    <col min="2556" max="2556" width="29" style="8" customWidth="1"/>
    <col min="2557" max="2557" width="9" style="8" customWidth="1"/>
    <col min="2558" max="2558" width="44.796875" style="8" customWidth="1"/>
    <col min="2559" max="2559" width="14.8984375" style="8" customWidth="1"/>
    <col min="2560" max="2560" width="13.69921875" style="8" customWidth="1"/>
    <col min="2561" max="2809" width="8.8984375" style="8"/>
    <col min="2810" max="2810" width="2.796875" style="8" customWidth="1"/>
    <col min="2811" max="2811" width="18.69921875" style="8" customWidth="1"/>
    <col min="2812" max="2812" width="29" style="8" customWidth="1"/>
    <col min="2813" max="2813" width="9" style="8" customWidth="1"/>
    <col min="2814" max="2814" width="44.796875" style="8" customWidth="1"/>
    <col min="2815" max="2815" width="14.8984375" style="8" customWidth="1"/>
    <col min="2816" max="2816" width="13.69921875" style="8" customWidth="1"/>
    <col min="2817" max="3065" width="8.8984375" style="8"/>
    <col min="3066" max="3066" width="2.796875" style="8" customWidth="1"/>
    <col min="3067" max="3067" width="18.69921875" style="8" customWidth="1"/>
    <col min="3068" max="3068" width="29" style="8" customWidth="1"/>
    <col min="3069" max="3069" width="9" style="8" customWidth="1"/>
    <col min="3070" max="3070" width="44.796875" style="8" customWidth="1"/>
    <col min="3071" max="3071" width="14.8984375" style="8" customWidth="1"/>
    <col min="3072" max="3072" width="13.69921875" style="8" customWidth="1"/>
    <col min="3073" max="3321" width="8.8984375" style="8"/>
    <col min="3322" max="3322" width="2.796875" style="8" customWidth="1"/>
    <col min="3323" max="3323" width="18.69921875" style="8" customWidth="1"/>
    <col min="3324" max="3324" width="29" style="8" customWidth="1"/>
    <col min="3325" max="3325" width="9" style="8" customWidth="1"/>
    <col min="3326" max="3326" width="44.796875" style="8" customWidth="1"/>
    <col min="3327" max="3327" width="14.8984375" style="8" customWidth="1"/>
    <col min="3328" max="3328" width="13.69921875" style="8" customWidth="1"/>
    <col min="3329" max="3577" width="8.8984375" style="8"/>
    <col min="3578" max="3578" width="2.796875" style="8" customWidth="1"/>
    <col min="3579" max="3579" width="18.69921875" style="8" customWidth="1"/>
    <col min="3580" max="3580" width="29" style="8" customWidth="1"/>
    <col min="3581" max="3581" width="9" style="8" customWidth="1"/>
    <col min="3582" max="3582" width="44.796875" style="8" customWidth="1"/>
    <col min="3583" max="3583" width="14.8984375" style="8" customWidth="1"/>
    <col min="3584" max="3584" width="13.69921875" style="8" customWidth="1"/>
    <col min="3585" max="3833" width="8.8984375" style="8"/>
    <col min="3834" max="3834" width="2.796875" style="8" customWidth="1"/>
    <col min="3835" max="3835" width="18.69921875" style="8" customWidth="1"/>
    <col min="3836" max="3836" width="29" style="8" customWidth="1"/>
    <col min="3837" max="3837" width="9" style="8" customWidth="1"/>
    <col min="3838" max="3838" width="44.796875" style="8" customWidth="1"/>
    <col min="3839" max="3839" width="14.8984375" style="8" customWidth="1"/>
    <col min="3840" max="3840" width="13.69921875" style="8" customWidth="1"/>
    <col min="3841" max="4089" width="8.8984375" style="8"/>
    <col min="4090" max="4090" width="2.796875" style="8" customWidth="1"/>
    <col min="4091" max="4091" width="18.69921875" style="8" customWidth="1"/>
    <col min="4092" max="4092" width="29" style="8" customWidth="1"/>
    <col min="4093" max="4093" width="9" style="8" customWidth="1"/>
    <col min="4094" max="4094" width="44.796875" style="8" customWidth="1"/>
    <col min="4095" max="4095" width="14.8984375" style="8" customWidth="1"/>
    <col min="4096" max="4096" width="13.69921875" style="8" customWidth="1"/>
    <col min="4097" max="4345" width="8.8984375" style="8"/>
    <col min="4346" max="4346" width="2.796875" style="8" customWidth="1"/>
    <col min="4347" max="4347" width="18.69921875" style="8" customWidth="1"/>
    <col min="4348" max="4348" width="29" style="8" customWidth="1"/>
    <col min="4349" max="4349" width="9" style="8" customWidth="1"/>
    <col min="4350" max="4350" width="44.796875" style="8" customWidth="1"/>
    <col min="4351" max="4351" width="14.8984375" style="8" customWidth="1"/>
    <col min="4352" max="4352" width="13.69921875" style="8" customWidth="1"/>
    <col min="4353" max="4601" width="8.8984375" style="8"/>
    <col min="4602" max="4602" width="2.796875" style="8" customWidth="1"/>
    <col min="4603" max="4603" width="18.69921875" style="8" customWidth="1"/>
    <col min="4604" max="4604" width="29" style="8" customWidth="1"/>
    <col min="4605" max="4605" width="9" style="8" customWidth="1"/>
    <col min="4606" max="4606" width="44.796875" style="8" customWidth="1"/>
    <col min="4607" max="4607" width="14.8984375" style="8" customWidth="1"/>
    <col min="4608" max="4608" width="13.69921875" style="8" customWidth="1"/>
    <col min="4609" max="4857" width="8.8984375" style="8"/>
    <col min="4858" max="4858" width="2.796875" style="8" customWidth="1"/>
    <col min="4859" max="4859" width="18.69921875" style="8" customWidth="1"/>
    <col min="4860" max="4860" width="29" style="8" customWidth="1"/>
    <col min="4861" max="4861" width="9" style="8" customWidth="1"/>
    <col min="4862" max="4862" width="44.796875" style="8" customWidth="1"/>
    <col min="4863" max="4863" width="14.8984375" style="8" customWidth="1"/>
    <col min="4864" max="4864" width="13.69921875" style="8" customWidth="1"/>
    <col min="4865" max="5113" width="8.8984375" style="8"/>
    <col min="5114" max="5114" width="2.796875" style="8" customWidth="1"/>
    <col min="5115" max="5115" width="18.69921875" style="8" customWidth="1"/>
    <col min="5116" max="5116" width="29" style="8" customWidth="1"/>
    <col min="5117" max="5117" width="9" style="8" customWidth="1"/>
    <col min="5118" max="5118" width="44.796875" style="8" customWidth="1"/>
    <col min="5119" max="5119" width="14.8984375" style="8" customWidth="1"/>
    <col min="5120" max="5120" width="13.69921875" style="8" customWidth="1"/>
    <col min="5121" max="5369" width="8.8984375" style="8"/>
    <col min="5370" max="5370" width="2.796875" style="8" customWidth="1"/>
    <col min="5371" max="5371" width="18.69921875" style="8" customWidth="1"/>
    <col min="5372" max="5372" width="29" style="8" customWidth="1"/>
    <col min="5373" max="5373" width="9" style="8" customWidth="1"/>
    <col min="5374" max="5374" width="44.796875" style="8" customWidth="1"/>
    <col min="5375" max="5375" width="14.8984375" style="8" customWidth="1"/>
    <col min="5376" max="5376" width="13.69921875" style="8" customWidth="1"/>
    <col min="5377" max="5625" width="8.8984375" style="8"/>
    <col min="5626" max="5626" width="2.796875" style="8" customWidth="1"/>
    <col min="5627" max="5627" width="18.69921875" style="8" customWidth="1"/>
    <col min="5628" max="5628" width="29" style="8" customWidth="1"/>
    <col min="5629" max="5629" width="9" style="8" customWidth="1"/>
    <col min="5630" max="5630" width="44.796875" style="8" customWidth="1"/>
    <col min="5631" max="5631" width="14.8984375" style="8" customWidth="1"/>
    <col min="5632" max="5632" width="13.69921875" style="8" customWidth="1"/>
    <col min="5633" max="5881" width="8.8984375" style="8"/>
    <col min="5882" max="5882" width="2.796875" style="8" customWidth="1"/>
    <col min="5883" max="5883" width="18.69921875" style="8" customWidth="1"/>
    <col min="5884" max="5884" width="29" style="8" customWidth="1"/>
    <col min="5885" max="5885" width="9" style="8" customWidth="1"/>
    <col min="5886" max="5886" width="44.796875" style="8" customWidth="1"/>
    <col min="5887" max="5887" width="14.8984375" style="8" customWidth="1"/>
    <col min="5888" max="5888" width="13.69921875" style="8" customWidth="1"/>
    <col min="5889" max="6137" width="8.8984375" style="8"/>
    <col min="6138" max="6138" width="2.796875" style="8" customWidth="1"/>
    <col min="6139" max="6139" width="18.69921875" style="8" customWidth="1"/>
    <col min="6140" max="6140" width="29" style="8" customWidth="1"/>
    <col min="6141" max="6141" width="9" style="8" customWidth="1"/>
    <col min="6142" max="6142" width="44.796875" style="8" customWidth="1"/>
    <col min="6143" max="6143" width="14.8984375" style="8" customWidth="1"/>
    <col min="6144" max="6144" width="13.69921875" style="8" customWidth="1"/>
    <col min="6145" max="6393" width="8.8984375" style="8"/>
    <col min="6394" max="6394" width="2.796875" style="8" customWidth="1"/>
    <col min="6395" max="6395" width="18.69921875" style="8" customWidth="1"/>
    <col min="6396" max="6396" width="29" style="8" customWidth="1"/>
    <col min="6397" max="6397" width="9" style="8" customWidth="1"/>
    <col min="6398" max="6398" width="44.796875" style="8" customWidth="1"/>
    <col min="6399" max="6399" width="14.8984375" style="8" customWidth="1"/>
    <col min="6400" max="6400" width="13.69921875" style="8" customWidth="1"/>
    <col min="6401" max="6649" width="8.8984375" style="8"/>
    <col min="6650" max="6650" width="2.796875" style="8" customWidth="1"/>
    <col min="6651" max="6651" width="18.69921875" style="8" customWidth="1"/>
    <col min="6652" max="6652" width="29" style="8" customWidth="1"/>
    <col min="6653" max="6653" width="9" style="8" customWidth="1"/>
    <col min="6654" max="6654" width="44.796875" style="8" customWidth="1"/>
    <col min="6655" max="6655" width="14.8984375" style="8" customWidth="1"/>
    <col min="6656" max="6656" width="13.69921875" style="8" customWidth="1"/>
    <col min="6657" max="6905" width="8.8984375" style="8"/>
    <col min="6906" max="6906" width="2.796875" style="8" customWidth="1"/>
    <col min="6907" max="6907" width="18.69921875" style="8" customWidth="1"/>
    <col min="6908" max="6908" width="29" style="8" customWidth="1"/>
    <col min="6909" max="6909" width="9" style="8" customWidth="1"/>
    <col min="6910" max="6910" width="44.796875" style="8" customWidth="1"/>
    <col min="6911" max="6911" width="14.8984375" style="8" customWidth="1"/>
    <col min="6912" max="6912" width="13.69921875" style="8" customWidth="1"/>
    <col min="6913" max="7161" width="8.8984375" style="8"/>
    <col min="7162" max="7162" width="2.796875" style="8" customWidth="1"/>
    <col min="7163" max="7163" width="18.69921875" style="8" customWidth="1"/>
    <col min="7164" max="7164" width="29" style="8" customWidth="1"/>
    <col min="7165" max="7165" width="9" style="8" customWidth="1"/>
    <col min="7166" max="7166" width="44.796875" style="8" customWidth="1"/>
    <col min="7167" max="7167" width="14.8984375" style="8" customWidth="1"/>
    <col min="7168" max="7168" width="13.69921875" style="8" customWidth="1"/>
    <col min="7169" max="7417" width="8.8984375" style="8"/>
    <col min="7418" max="7418" width="2.796875" style="8" customWidth="1"/>
    <col min="7419" max="7419" width="18.69921875" style="8" customWidth="1"/>
    <col min="7420" max="7420" width="29" style="8" customWidth="1"/>
    <col min="7421" max="7421" width="9" style="8" customWidth="1"/>
    <col min="7422" max="7422" width="44.796875" style="8" customWidth="1"/>
    <col min="7423" max="7423" width="14.8984375" style="8" customWidth="1"/>
    <col min="7424" max="7424" width="13.69921875" style="8" customWidth="1"/>
    <col min="7425" max="7673" width="8.8984375" style="8"/>
    <col min="7674" max="7674" width="2.796875" style="8" customWidth="1"/>
    <col min="7675" max="7675" width="18.69921875" style="8" customWidth="1"/>
    <col min="7676" max="7676" width="29" style="8" customWidth="1"/>
    <col min="7677" max="7677" width="9" style="8" customWidth="1"/>
    <col min="7678" max="7678" width="44.796875" style="8" customWidth="1"/>
    <col min="7679" max="7679" width="14.8984375" style="8" customWidth="1"/>
    <col min="7680" max="7680" width="13.69921875" style="8" customWidth="1"/>
    <col min="7681" max="7929" width="8.8984375" style="8"/>
    <col min="7930" max="7930" width="2.796875" style="8" customWidth="1"/>
    <col min="7931" max="7931" width="18.69921875" style="8" customWidth="1"/>
    <col min="7932" max="7932" width="29" style="8" customWidth="1"/>
    <col min="7933" max="7933" width="9" style="8" customWidth="1"/>
    <col min="7934" max="7934" width="44.796875" style="8" customWidth="1"/>
    <col min="7935" max="7935" width="14.8984375" style="8" customWidth="1"/>
    <col min="7936" max="7936" width="13.69921875" style="8" customWidth="1"/>
    <col min="7937" max="8185" width="8.8984375" style="8"/>
    <col min="8186" max="8186" width="2.796875" style="8" customWidth="1"/>
    <col min="8187" max="8187" width="18.69921875" style="8" customWidth="1"/>
    <col min="8188" max="8188" width="29" style="8" customWidth="1"/>
    <col min="8189" max="8189" width="9" style="8" customWidth="1"/>
    <col min="8190" max="8190" width="44.796875" style="8" customWidth="1"/>
    <col min="8191" max="8191" width="14.8984375" style="8" customWidth="1"/>
    <col min="8192" max="8192" width="13.69921875" style="8" customWidth="1"/>
    <col min="8193" max="8441" width="8.8984375" style="8"/>
    <col min="8442" max="8442" width="2.796875" style="8" customWidth="1"/>
    <col min="8443" max="8443" width="18.69921875" style="8" customWidth="1"/>
    <col min="8444" max="8444" width="29" style="8" customWidth="1"/>
    <col min="8445" max="8445" width="9" style="8" customWidth="1"/>
    <col min="8446" max="8446" width="44.796875" style="8" customWidth="1"/>
    <col min="8447" max="8447" width="14.8984375" style="8" customWidth="1"/>
    <col min="8448" max="8448" width="13.69921875" style="8" customWidth="1"/>
    <col min="8449" max="8697" width="8.8984375" style="8"/>
    <col min="8698" max="8698" width="2.796875" style="8" customWidth="1"/>
    <col min="8699" max="8699" width="18.69921875" style="8" customWidth="1"/>
    <col min="8700" max="8700" width="29" style="8" customWidth="1"/>
    <col min="8701" max="8701" width="9" style="8" customWidth="1"/>
    <col min="8702" max="8702" width="44.796875" style="8" customWidth="1"/>
    <col min="8703" max="8703" width="14.8984375" style="8" customWidth="1"/>
    <col min="8704" max="8704" width="13.69921875" style="8" customWidth="1"/>
    <col min="8705" max="8953" width="8.8984375" style="8"/>
    <col min="8954" max="8954" width="2.796875" style="8" customWidth="1"/>
    <col min="8955" max="8955" width="18.69921875" style="8" customWidth="1"/>
    <col min="8956" max="8956" width="29" style="8" customWidth="1"/>
    <col min="8957" max="8957" width="9" style="8" customWidth="1"/>
    <col min="8958" max="8958" width="44.796875" style="8" customWidth="1"/>
    <col min="8959" max="8959" width="14.8984375" style="8" customWidth="1"/>
    <col min="8960" max="8960" width="13.69921875" style="8" customWidth="1"/>
    <col min="8961" max="9209" width="8.8984375" style="8"/>
    <col min="9210" max="9210" width="2.796875" style="8" customWidth="1"/>
    <col min="9211" max="9211" width="18.69921875" style="8" customWidth="1"/>
    <col min="9212" max="9212" width="29" style="8" customWidth="1"/>
    <col min="9213" max="9213" width="9" style="8" customWidth="1"/>
    <col min="9214" max="9214" width="44.796875" style="8" customWidth="1"/>
    <col min="9215" max="9215" width="14.8984375" style="8" customWidth="1"/>
    <col min="9216" max="9216" width="13.69921875" style="8" customWidth="1"/>
    <col min="9217" max="9465" width="8.8984375" style="8"/>
    <col min="9466" max="9466" width="2.796875" style="8" customWidth="1"/>
    <col min="9467" max="9467" width="18.69921875" style="8" customWidth="1"/>
    <col min="9468" max="9468" width="29" style="8" customWidth="1"/>
    <col min="9469" max="9469" width="9" style="8" customWidth="1"/>
    <col min="9470" max="9470" width="44.796875" style="8" customWidth="1"/>
    <col min="9471" max="9471" width="14.8984375" style="8" customWidth="1"/>
    <col min="9472" max="9472" width="13.69921875" style="8" customWidth="1"/>
    <col min="9473" max="9721" width="8.8984375" style="8"/>
    <col min="9722" max="9722" width="2.796875" style="8" customWidth="1"/>
    <col min="9723" max="9723" width="18.69921875" style="8" customWidth="1"/>
    <col min="9724" max="9724" width="29" style="8" customWidth="1"/>
    <col min="9725" max="9725" width="9" style="8" customWidth="1"/>
    <col min="9726" max="9726" width="44.796875" style="8" customWidth="1"/>
    <col min="9727" max="9727" width="14.8984375" style="8" customWidth="1"/>
    <col min="9728" max="9728" width="13.69921875" style="8" customWidth="1"/>
    <col min="9729" max="9977" width="8.8984375" style="8"/>
    <col min="9978" max="9978" width="2.796875" style="8" customWidth="1"/>
    <col min="9979" max="9979" width="18.69921875" style="8" customWidth="1"/>
    <col min="9980" max="9980" width="29" style="8" customWidth="1"/>
    <col min="9981" max="9981" width="9" style="8" customWidth="1"/>
    <col min="9982" max="9982" width="44.796875" style="8" customWidth="1"/>
    <col min="9983" max="9983" width="14.8984375" style="8" customWidth="1"/>
    <col min="9984" max="9984" width="13.69921875" style="8" customWidth="1"/>
    <col min="9985" max="10233" width="8.8984375" style="8"/>
    <col min="10234" max="10234" width="2.796875" style="8" customWidth="1"/>
    <col min="10235" max="10235" width="18.69921875" style="8" customWidth="1"/>
    <col min="10236" max="10236" width="29" style="8" customWidth="1"/>
    <col min="10237" max="10237" width="9" style="8" customWidth="1"/>
    <col min="10238" max="10238" width="44.796875" style="8" customWidth="1"/>
    <col min="10239" max="10239" width="14.8984375" style="8" customWidth="1"/>
    <col min="10240" max="10240" width="13.69921875" style="8" customWidth="1"/>
    <col min="10241" max="10489" width="8.8984375" style="8"/>
    <col min="10490" max="10490" width="2.796875" style="8" customWidth="1"/>
    <col min="10491" max="10491" width="18.69921875" style="8" customWidth="1"/>
    <col min="10492" max="10492" width="29" style="8" customWidth="1"/>
    <col min="10493" max="10493" width="9" style="8" customWidth="1"/>
    <col min="10494" max="10494" width="44.796875" style="8" customWidth="1"/>
    <col min="10495" max="10495" width="14.8984375" style="8" customWidth="1"/>
    <col min="10496" max="10496" width="13.69921875" style="8" customWidth="1"/>
    <col min="10497" max="10745" width="8.8984375" style="8"/>
    <col min="10746" max="10746" width="2.796875" style="8" customWidth="1"/>
    <col min="10747" max="10747" width="18.69921875" style="8" customWidth="1"/>
    <col min="10748" max="10748" width="29" style="8" customWidth="1"/>
    <col min="10749" max="10749" width="9" style="8" customWidth="1"/>
    <col min="10750" max="10750" width="44.796875" style="8" customWidth="1"/>
    <col min="10751" max="10751" width="14.8984375" style="8" customWidth="1"/>
    <col min="10752" max="10752" width="13.69921875" style="8" customWidth="1"/>
    <col min="10753" max="11001" width="8.8984375" style="8"/>
    <col min="11002" max="11002" width="2.796875" style="8" customWidth="1"/>
    <col min="11003" max="11003" width="18.69921875" style="8" customWidth="1"/>
    <col min="11004" max="11004" width="29" style="8" customWidth="1"/>
    <col min="11005" max="11005" width="9" style="8" customWidth="1"/>
    <col min="11006" max="11006" width="44.796875" style="8" customWidth="1"/>
    <col min="11007" max="11007" width="14.8984375" style="8" customWidth="1"/>
    <col min="11008" max="11008" width="13.69921875" style="8" customWidth="1"/>
    <col min="11009" max="11257" width="8.8984375" style="8"/>
    <col min="11258" max="11258" width="2.796875" style="8" customWidth="1"/>
    <col min="11259" max="11259" width="18.69921875" style="8" customWidth="1"/>
    <col min="11260" max="11260" width="29" style="8" customWidth="1"/>
    <col min="11261" max="11261" width="9" style="8" customWidth="1"/>
    <col min="11262" max="11262" width="44.796875" style="8" customWidth="1"/>
    <col min="11263" max="11263" width="14.8984375" style="8" customWidth="1"/>
    <col min="11264" max="11264" width="13.69921875" style="8" customWidth="1"/>
    <col min="11265" max="11513" width="8.8984375" style="8"/>
    <col min="11514" max="11514" width="2.796875" style="8" customWidth="1"/>
    <col min="11515" max="11515" width="18.69921875" style="8" customWidth="1"/>
    <col min="11516" max="11516" width="29" style="8" customWidth="1"/>
    <col min="11517" max="11517" width="9" style="8" customWidth="1"/>
    <col min="11518" max="11518" width="44.796875" style="8" customWidth="1"/>
    <col min="11519" max="11519" width="14.8984375" style="8" customWidth="1"/>
    <col min="11520" max="11520" width="13.69921875" style="8" customWidth="1"/>
    <col min="11521" max="11769" width="8.8984375" style="8"/>
    <col min="11770" max="11770" width="2.796875" style="8" customWidth="1"/>
    <col min="11771" max="11771" width="18.69921875" style="8" customWidth="1"/>
    <col min="11772" max="11772" width="29" style="8" customWidth="1"/>
    <col min="11773" max="11773" width="9" style="8" customWidth="1"/>
    <col min="11774" max="11774" width="44.796875" style="8" customWidth="1"/>
    <col min="11775" max="11775" width="14.8984375" style="8" customWidth="1"/>
    <col min="11776" max="11776" width="13.69921875" style="8" customWidth="1"/>
    <col min="11777" max="12025" width="8.8984375" style="8"/>
    <col min="12026" max="12026" width="2.796875" style="8" customWidth="1"/>
    <col min="12027" max="12027" width="18.69921875" style="8" customWidth="1"/>
    <col min="12028" max="12028" width="29" style="8" customWidth="1"/>
    <col min="12029" max="12029" width="9" style="8" customWidth="1"/>
    <col min="12030" max="12030" width="44.796875" style="8" customWidth="1"/>
    <col min="12031" max="12031" width="14.8984375" style="8" customWidth="1"/>
    <col min="12032" max="12032" width="13.69921875" style="8" customWidth="1"/>
    <col min="12033" max="12281" width="8.8984375" style="8"/>
    <col min="12282" max="12282" width="2.796875" style="8" customWidth="1"/>
    <col min="12283" max="12283" width="18.69921875" style="8" customWidth="1"/>
    <col min="12284" max="12284" width="29" style="8" customWidth="1"/>
    <col min="12285" max="12285" width="9" style="8" customWidth="1"/>
    <col min="12286" max="12286" width="44.796875" style="8" customWidth="1"/>
    <col min="12287" max="12287" width="14.8984375" style="8" customWidth="1"/>
    <col min="12288" max="12288" width="13.69921875" style="8" customWidth="1"/>
    <col min="12289" max="12537" width="8.8984375" style="8"/>
    <col min="12538" max="12538" width="2.796875" style="8" customWidth="1"/>
    <col min="12539" max="12539" width="18.69921875" style="8" customWidth="1"/>
    <col min="12540" max="12540" width="29" style="8" customWidth="1"/>
    <col min="12541" max="12541" width="9" style="8" customWidth="1"/>
    <col min="12542" max="12542" width="44.796875" style="8" customWidth="1"/>
    <col min="12543" max="12543" width="14.8984375" style="8" customWidth="1"/>
    <col min="12544" max="12544" width="13.69921875" style="8" customWidth="1"/>
    <col min="12545" max="12793" width="8.8984375" style="8"/>
    <col min="12794" max="12794" width="2.796875" style="8" customWidth="1"/>
    <col min="12795" max="12795" width="18.69921875" style="8" customWidth="1"/>
    <col min="12796" max="12796" width="29" style="8" customWidth="1"/>
    <col min="12797" max="12797" width="9" style="8" customWidth="1"/>
    <col min="12798" max="12798" width="44.796875" style="8" customWidth="1"/>
    <col min="12799" max="12799" width="14.8984375" style="8" customWidth="1"/>
    <col min="12800" max="12800" width="13.69921875" style="8" customWidth="1"/>
    <col min="12801" max="13049" width="8.8984375" style="8"/>
    <col min="13050" max="13050" width="2.796875" style="8" customWidth="1"/>
    <col min="13051" max="13051" width="18.69921875" style="8" customWidth="1"/>
    <col min="13052" max="13052" width="29" style="8" customWidth="1"/>
    <col min="13053" max="13053" width="9" style="8" customWidth="1"/>
    <col min="13054" max="13054" width="44.796875" style="8" customWidth="1"/>
    <col min="13055" max="13055" width="14.8984375" style="8" customWidth="1"/>
    <col min="13056" max="13056" width="13.69921875" style="8" customWidth="1"/>
    <col min="13057" max="13305" width="8.8984375" style="8"/>
    <col min="13306" max="13306" width="2.796875" style="8" customWidth="1"/>
    <col min="13307" max="13307" width="18.69921875" style="8" customWidth="1"/>
    <col min="13308" max="13308" width="29" style="8" customWidth="1"/>
    <col min="13309" max="13309" width="9" style="8" customWidth="1"/>
    <col min="13310" max="13310" width="44.796875" style="8" customWidth="1"/>
    <col min="13311" max="13311" width="14.8984375" style="8" customWidth="1"/>
    <col min="13312" max="13312" width="13.69921875" style="8" customWidth="1"/>
    <col min="13313" max="13561" width="8.8984375" style="8"/>
    <col min="13562" max="13562" width="2.796875" style="8" customWidth="1"/>
    <col min="13563" max="13563" width="18.69921875" style="8" customWidth="1"/>
    <col min="13564" max="13564" width="29" style="8" customWidth="1"/>
    <col min="13565" max="13565" width="9" style="8" customWidth="1"/>
    <col min="13566" max="13566" width="44.796875" style="8" customWidth="1"/>
    <col min="13567" max="13567" width="14.8984375" style="8" customWidth="1"/>
    <col min="13568" max="13568" width="13.69921875" style="8" customWidth="1"/>
    <col min="13569" max="13817" width="8.8984375" style="8"/>
    <col min="13818" max="13818" width="2.796875" style="8" customWidth="1"/>
    <col min="13819" max="13819" width="18.69921875" style="8" customWidth="1"/>
    <col min="13820" max="13820" width="29" style="8" customWidth="1"/>
    <col min="13821" max="13821" width="9" style="8" customWidth="1"/>
    <col min="13822" max="13822" width="44.796875" style="8" customWidth="1"/>
    <col min="13823" max="13823" width="14.8984375" style="8" customWidth="1"/>
    <col min="13824" max="13824" width="13.69921875" style="8" customWidth="1"/>
    <col min="13825" max="14073" width="8.8984375" style="8"/>
    <col min="14074" max="14074" width="2.796875" style="8" customWidth="1"/>
    <col min="14075" max="14075" width="18.69921875" style="8" customWidth="1"/>
    <col min="14076" max="14076" width="29" style="8" customWidth="1"/>
    <col min="14077" max="14077" width="9" style="8" customWidth="1"/>
    <col min="14078" max="14078" width="44.796875" style="8" customWidth="1"/>
    <col min="14079" max="14079" width="14.8984375" style="8" customWidth="1"/>
    <col min="14080" max="14080" width="13.69921875" style="8" customWidth="1"/>
    <col min="14081" max="14329" width="8.8984375" style="8"/>
    <col min="14330" max="14330" width="2.796875" style="8" customWidth="1"/>
    <col min="14331" max="14331" width="18.69921875" style="8" customWidth="1"/>
    <col min="14332" max="14332" width="29" style="8" customWidth="1"/>
    <col min="14333" max="14333" width="9" style="8" customWidth="1"/>
    <col min="14334" max="14334" width="44.796875" style="8" customWidth="1"/>
    <col min="14335" max="14335" width="14.8984375" style="8" customWidth="1"/>
    <col min="14336" max="14336" width="13.69921875" style="8" customWidth="1"/>
    <col min="14337" max="14585" width="8.8984375" style="8"/>
    <col min="14586" max="14586" width="2.796875" style="8" customWidth="1"/>
    <col min="14587" max="14587" width="18.69921875" style="8" customWidth="1"/>
    <col min="14588" max="14588" width="29" style="8" customWidth="1"/>
    <col min="14589" max="14589" width="9" style="8" customWidth="1"/>
    <col min="14590" max="14590" width="44.796875" style="8" customWidth="1"/>
    <col min="14591" max="14591" width="14.8984375" style="8" customWidth="1"/>
    <col min="14592" max="14592" width="13.69921875" style="8" customWidth="1"/>
    <col min="14593" max="14841" width="8.8984375" style="8"/>
    <col min="14842" max="14842" width="2.796875" style="8" customWidth="1"/>
    <col min="14843" max="14843" width="18.69921875" style="8" customWidth="1"/>
    <col min="14844" max="14844" width="29" style="8" customWidth="1"/>
    <col min="14845" max="14845" width="9" style="8" customWidth="1"/>
    <col min="14846" max="14846" width="44.796875" style="8" customWidth="1"/>
    <col min="14847" max="14847" width="14.8984375" style="8" customWidth="1"/>
    <col min="14848" max="14848" width="13.69921875" style="8" customWidth="1"/>
    <col min="14849" max="15097" width="8.8984375" style="8"/>
    <col min="15098" max="15098" width="2.796875" style="8" customWidth="1"/>
    <col min="15099" max="15099" width="18.69921875" style="8" customWidth="1"/>
    <col min="15100" max="15100" width="29" style="8" customWidth="1"/>
    <col min="15101" max="15101" width="9" style="8" customWidth="1"/>
    <col min="15102" max="15102" width="44.796875" style="8" customWidth="1"/>
    <col min="15103" max="15103" width="14.8984375" style="8" customWidth="1"/>
    <col min="15104" max="15104" width="13.69921875" style="8" customWidth="1"/>
    <col min="15105" max="15353" width="8.8984375" style="8"/>
    <col min="15354" max="15354" width="2.796875" style="8" customWidth="1"/>
    <col min="15355" max="15355" width="18.69921875" style="8" customWidth="1"/>
    <col min="15356" max="15356" width="29" style="8" customWidth="1"/>
    <col min="15357" max="15357" width="9" style="8" customWidth="1"/>
    <col min="15358" max="15358" width="44.796875" style="8" customWidth="1"/>
    <col min="15359" max="15359" width="14.8984375" style="8" customWidth="1"/>
    <col min="15360" max="15360" width="13.69921875" style="8" customWidth="1"/>
    <col min="15361" max="15609" width="8.8984375" style="8"/>
    <col min="15610" max="15610" width="2.796875" style="8" customWidth="1"/>
    <col min="15611" max="15611" width="18.69921875" style="8" customWidth="1"/>
    <col min="15612" max="15612" width="29" style="8" customWidth="1"/>
    <col min="15613" max="15613" width="9" style="8" customWidth="1"/>
    <col min="15614" max="15614" width="44.796875" style="8" customWidth="1"/>
    <col min="15615" max="15615" width="14.8984375" style="8" customWidth="1"/>
    <col min="15616" max="15616" width="13.69921875" style="8" customWidth="1"/>
    <col min="15617" max="15865" width="8.8984375" style="8"/>
    <col min="15866" max="15866" width="2.796875" style="8" customWidth="1"/>
    <col min="15867" max="15867" width="18.69921875" style="8" customWidth="1"/>
    <col min="15868" max="15868" width="29" style="8" customWidth="1"/>
    <col min="15869" max="15869" width="9" style="8" customWidth="1"/>
    <col min="15870" max="15870" width="44.796875" style="8" customWidth="1"/>
    <col min="15871" max="15871" width="14.8984375" style="8" customWidth="1"/>
    <col min="15872" max="15872" width="13.69921875" style="8" customWidth="1"/>
    <col min="15873" max="16121" width="8.8984375" style="8"/>
    <col min="16122" max="16122" width="2.796875" style="8" customWidth="1"/>
    <col min="16123" max="16123" width="18.69921875" style="8" customWidth="1"/>
    <col min="16124" max="16124" width="29" style="8" customWidth="1"/>
    <col min="16125" max="16125" width="9" style="8" customWidth="1"/>
    <col min="16126" max="16126" width="44.796875" style="8" customWidth="1"/>
    <col min="16127" max="16127" width="14.8984375" style="8" customWidth="1"/>
    <col min="16128" max="16128" width="13.69921875" style="8" customWidth="1"/>
    <col min="16129" max="16384" width="8.8984375" style="8"/>
  </cols>
  <sheetData>
    <row r="1" spans="2:10" ht="33" customHeight="1">
      <c r="B1" s="281" t="s">
        <v>93</v>
      </c>
      <c r="C1" s="281"/>
      <c r="D1" s="281"/>
      <c r="E1" s="281"/>
      <c r="F1" s="281"/>
    </row>
    <row r="2" spans="2:10" ht="8.25" customHeight="1" thickBot="1"/>
    <row r="3" spans="2:10" ht="23.25" customHeight="1" thickBot="1">
      <c r="B3" s="245" t="s">
        <v>22</v>
      </c>
      <c r="C3" s="246"/>
      <c r="D3" s="246"/>
      <c r="E3" s="246"/>
      <c r="F3" s="246"/>
      <c r="G3" s="247"/>
    </row>
    <row r="4" spans="2:10" ht="18" customHeight="1">
      <c r="B4" s="11"/>
      <c r="C4" s="4"/>
      <c r="D4" s="12"/>
      <c r="E4" s="13"/>
      <c r="F4" s="13"/>
    </row>
    <row r="5" spans="2:10" ht="18" customHeight="1" thickBot="1">
      <c r="B5" s="98" t="s">
        <v>8</v>
      </c>
      <c r="C5" s="3"/>
      <c r="D5" s="9"/>
      <c r="E5" s="10"/>
      <c r="F5" s="10"/>
    </row>
    <row r="6" spans="2:10" ht="18" customHeight="1" thickBot="1">
      <c r="B6" s="99" t="s">
        <v>96</v>
      </c>
      <c r="C6" s="100"/>
      <c r="D6" s="101"/>
      <c r="E6" s="10"/>
      <c r="F6" s="10"/>
    </row>
    <row r="7" spans="2:10" ht="18" customHeight="1" thickBot="1">
      <c r="B7" s="102" t="s">
        <v>10</v>
      </c>
      <c r="C7" s="103" t="s">
        <v>11</v>
      </c>
      <c r="D7" s="103" t="s">
        <v>12</v>
      </c>
      <c r="E7" s="103" t="s">
        <v>13</v>
      </c>
      <c r="F7" s="103" t="s">
        <v>14</v>
      </c>
      <c r="G7" s="104" t="s">
        <v>15</v>
      </c>
    </row>
    <row r="8" spans="2:10" ht="18" customHeight="1">
      <c r="B8" s="282" t="s">
        <v>97</v>
      </c>
      <c r="C8" s="284" t="s">
        <v>98</v>
      </c>
      <c r="D8" s="285">
        <v>0.05</v>
      </c>
      <c r="E8" s="44" t="s">
        <v>99</v>
      </c>
      <c r="F8" s="38">
        <v>4</v>
      </c>
      <c r="G8" s="286"/>
      <c r="H8" s="112">
        <v>1</v>
      </c>
      <c r="I8" s="112">
        <f>((D8*G8)/4)*100</f>
        <v>0</v>
      </c>
      <c r="J8" s="113">
        <f>D8*100</f>
        <v>5</v>
      </c>
    </row>
    <row r="9" spans="2:10" ht="18" customHeight="1">
      <c r="B9" s="283"/>
      <c r="C9" s="268"/>
      <c r="D9" s="276"/>
      <c r="E9" s="45" t="s">
        <v>100</v>
      </c>
      <c r="F9" s="39">
        <v>3</v>
      </c>
      <c r="G9" s="279"/>
    </row>
    <row r="10" spans="2:10" ht="18" customHeight="1">
      <c r="B10" s="283"/>
      <c r="C10" s="268"/>
      <c r="D10" s="276"/>
      <c r="E10" s="45" t="s">
        <v>101</v>
      </c>
      <c r="F10" s="39">
        <v>2</v>
      </c>
      <c r="G10" s="279"/>
    </row>
    <row r="11" spans="2:10" ht="18" customHeight="1">
      <c r="B11" s="283"/>
      <c r="C11" s="268"/>
      <c r="D11" s="276"/>
      <c r="E11" s="46" t="s">
        <v>102</v>
      </c>
      <c r="F11" s="40">
        <v>1</v>
      </c>
      <c r="G11" s="287"/>
    </row>
    <row r="12" spans="2:10" ht="18" customHeight="1">
      <c r="B12" s="264" t="s">
        <v>103</v>
      </c>
      <c r="C12" s="267" t="s">
        <v>104</v>
      </c>
      <c r="D12" s="276">
        <v>0.05</v>
      </c>
      <c r="E12" s="47" t="s">
        <v>105</v>
      </c>
      <c r="F12" s="41">
        <v>4</v>
      </c>
      <c r="G12" s="278"/>
      <c r="H12" s="112">
        <f>H8+1</f>
        <v>2</v>
      </c>
      <c r="I12" s="112">
        <f t="shared" ref="I12" si="0">((D12*G12)/4)*100</f>
        <v>0</v>
      </c>
      <c r="J12" s="113">
        <f>D12*100</f>
        <v>5</v>
      </c>
    </row>
    <row r="13" spans="2:10" ht="18" customHeight="1">
      <c r="B13" s="265"/>
      <c r="C13" s="268"/>
      <c r="D13" s="276"/>
      <c r="E13" s="45" t="s">
        <v>106</v>
      </c>
      <c r="F13" s="39">
        <v>3</v>
      </c>
      <c r="G13" s="279"/>
    </row>
    <row r="14" spans="2:10" ht="18" customHeight="1">
      <c r="B14" s="265"/>
      <c r="C14" s="268"/>
      <c r="D14" s="276"/>
      <c r="E14" s="45" t="s">
        <v>107</v>
      </c>
      <c r="F14" s="39">
        <v>2</v>
      </c>
      <c r="G14" s="279"/>
    </row>
    <row r="15" spans="2:10" ht="18" customHeight="1">
      <c r="B15" s="265"/>
      <c r="C15" s="268"/>
      <c r="D15" s="276"/>
      <c r="E15" s="105" t="s">
        <v>108</v>
      </c>
      <c r="F15" s="40">
        <v>1</v>
      </c>
      <c r="G15" s="287"/>
    </row>
    <row r="16" spans="2:10" ht="18" customHeight="1">
      <c r="B16" s="264" t="s">
        <v>109</v>
      </c>
      <c r="C16" s="267" t="s">
        <v>110</v>
      </c>
      <c r="D16" s="276">
        <v>0.05</v>
      </c>
      <c r="E16" s="68" t="s">
        <v>111</v>
      </c>
      <c r="F16" s="41">
        <v>4</v>
      </c>
      <c r="G16" s="278"/>
      <c r="H16" s="112">
        <f t="shared" ref="H16" si="1">H12+1</f>
        <v>3</v>
      </c>
      <c r="I16" s="112">
        <f t="shared" ref="I16" si="2">((D16*G16)/4)*100</f>
        <v>0</v>
      </c>
      <c r="J16" s="113">
        <f>D16*100</f>
        <v>5</v>
      </c>
    </row>
    <row r="17" spans="2:10" ht="18" customHeight="1">
      <c r="B17" s="265"/>
      <c r="C17" s="268"/>
      <c r="D17" s="276"/>
      <c r="E17" s="45" t="s">
        <v>112</v>
      </c>
      <c r="F17" s="39">
        <v>3</v>
      </c>
      <c r="G17" s="279"/>
    </row>
    <row r="18" spans="2:10" ht="18" customHeight="1">
      <c r="B18" s="265"/>
      <c r="C18" s="268"/>
      <c r="D18" s="276"/>
      <c r="E18" s="45" t="s">
        <v>113</v>
      </c>
      <c r="F18" s="39">
        <v>2</v>
      </c>
      <c r="G18" s="279"/>
    </row>
    <row r="19" spans="2:10" ht="18" customHeight="1">
      <c r="B19" s="265"/>
      <c r="C19" s="268"/>
      <c r="D19" s="276"/>
      <c r="E19" s="46" t="s">
        <v>114</v>
      </c>
      <c r="F19" s="40">
        <v>1</v>
      </c>
      <c r="G19" s="287"/>
    </row>
    <row r="20" spans="2:10" ht="18" customHeight="1">
      <c r="B20" s="264" t="s">
        <v>115</v>
      </c>
      <c r="C20" s="267" t="s">
        <v>116</v>
      </c>
      <c r="D20" s="276">
        <v>0.05</v>
      </c>
      <c r="E20" s="68" t="s">
        <v>117</v>
      </c>
      <c r="F20" s="41">
        <v>4</v>
      </c>
      <c r="G20" s="278"/>
      <c r="H20" s="112">
        <f t="shared" ref="H20" si="3">H16+1</f>
        <v>4</v>
      </c>
      <c r="I20" s="112">
        <f t="shared" ref="I20" si="4">((D20*G20)/4)*100</f>
        <v>0</v>
      </c>
      <c r="J20" s="113">
        <f>D20*100</f>
        <v>5</v>
      </c>
    </row>
    <row r="21" spans="2:10" ht="18" customHeight="1">
      <c r="B21" s="265"/>
      <c r="C21" s="268"/>
      <c r="D21" s="276"/>
      <c r="E21" s="45" t="s">
        <v>118</v>
      </c>
      <c r="F21" s="39">
        <v>3</v>
      </c>
      <c r="G21" s="279"/>
    </row>
    <row r="22" spans="2:10" ht="18" customHeight="1">
      <c r="B22" s="265"/>
      <c r="C22" s="268"/>
      <c r="D22" s="276"/>
      <c r="E22" s="45" t="s">
        <v>119</v>
      </c>
      <c r="F22" s="39">
        <v>2</v>
      </c>
      <c r="G22" s="279"/>
    </row>
    <row r="23" spans="2:10" ht="18" customHeight="1" thickBot="1">
      <c r="B23" s="266"/>
      <c r="C23" s="269"/>
      <c r="D23" s="277"/>
      <c r="E23" s="48" t="s">
        <v>120</v>
      </c>
      <c r="F23" s="42">
        <v>1</v>
      </c>
      <c r="G23" s="280"/>
    </row>
    <row r="24" spans="2:10" ht="18" customHeight="1">
      <c r="F24" s="66" t="s">
        <v>16</v>
      </c>
      <c r="G24" s="14">
        <f>SUMPRODUCT(D8:D23,G8:G23)</f>
        <v>0</v>
      </c>
    </row>
    <row r="25" spans="2:10" ht="18" customHeight="1" thickBot="1">
      <c r="B25" s="11"/>
      <c r="C25" s="4"/>
      <c r="D25" s="12"/>
      <c r="E25" s="13"/>
      <c r="F25" s="67" t="s">
        <v>17</v>
      </c>
      <c r="G25" s="15">
        <f>G24/4*100</f>
        <v>0</v>
      </c>
    </row>
    <row r="26" spans="2:10" ht="18" customHeight="1" thickBot="1">
      <c r="B26" s="11"/>
      <c r="C26" s="4"/>
      <c r="D26" s="12"/>
      <c r="E26" s="13"/>
      <c r="F26" s="13"/>
    </row>
    <row r="27" spans="2:10" ht="26.25" customHeight="1" thickBot="1">
      <c r="B27" s="245" t="s">
        <v>23</v>
      </c>
      <c r="C27" s="246"/>
      <c r="D27" s="246"/>
      <c r="E27" s="246"/>
      <c r="F27" s="246"/>
      <c r="G27" s="247"/>
    </row>
    <row r="28" spans="2:10" ht="18" customHeight="1">
      <c r="B28" s="11" t="s">
        <v>121</v>
      </c>
      <c r="C28" s="4"/>
      <c r="D28" s="12"/>
      <c r="E28" s="13"/>
      <c r="F28" s="13"/>
    </row>
    <row r="29" spans="2:10" ht="18" customHeight="1" thickBot="1">
      <c r="B29" s="98" t="s">
        <v>8</v>
      </c>
      <c r="C29" s="3"/>
      <c r="D29" s="9"/>
      <c r="E29" s="10"/>
      <c r="F29" s="10"/>
    </row>
    <row r="30" spans="2:10" ht="18" customHeight="1" thickBot="1">
      <c r="B30" s="106" t="s">
        <v>122</v>
      </c>
      <c r="C30" s="107"/>
      <c r="D30" s="108"/>
      <c r="E30" s="10"/>
      <c r="F30" s="10"/>
    </row>
    <row r="31" spans="2:10" ht="23.25" customHeight="1">
      <c r="B31" s="96" t="s">
        <v>10</v>
      </c>
      <c r="C31" s="54" t="s">
        <v>11</v>
      </c>
      <c r="D31" s="54" t="s">
        <v>12</v>
      </c>
      <c r="E31" s="54" t="s">
        <v>13</v>
      </c>
      <c r="F31" s="92" t="s">
        <v>14</v>
      </c>
      <c r="G31" s="55" t="s">
        <v>15</v>
      </c>
    </row>
    <row r="32" spans="2:10" ht="18" customHeight="1">
      <c r="B32" s="264" t="s">
        <v>123</v>
      </c>
      <c r="C32" s="261" t="s">
        <v>124</v>
      </c>
      <c r="D32" s="275">
        <v>0.2</v>
      </c>
      <c r="E32" s="52" t="s">
        <v>125</v>
      </c>
      <c r="F32" s="53">
        <v>4</v>
      </c>
      <c r="G32" s="274"/>
      <c r="H32" s="112">
        <f>H20+1</f>
        <v>5</v>
      </c>
      <c r="I32" s="112">
        <f>((D32*G32)/4)*100</f>
        <v>0</v>
      </c>
      <c r="J32" s="113">
        <f>D32*100</f>
        <v>20</v>
      </c>
    </row>
    <row r="33" spans="2:10" ht="18" customHeight="1">
      <c r="B33" s="265"/>
      <c r="C33" s="268"/>
      <c r="D33" s="275"/>
      <c r="E33" s="52" t="s">
        <v>126</v>
      </c>
      <c r="F33" s="53">
        <v>3</v>
      </c>
      <c r="G33" s="274"/>
    </row>
    <row r="34" spans="2:10" ht="18" customHeight="1">
      <c r="B34" s="265"/>
      <c r="C34" s="268"/>
      <c r="D34" s="270"/>
      <c r="E34" s="45" t="s">
        <v>127</v>
      </c>
      <c r="F34" s="39">
        <v>2</v>
      </c>
      <c r="G34" s="259"/>
    </row>
    <row r="35" spans="2:10" ht="18" customHeight="1">
      <c r="B35" s="265"/>
      <c r="C35" s="268"/>
      <c r="D35" s="270"/>
      <c r="E35" s="46" t="s">
        <v>128</v>
      </c>
      <c r="F35" s="43">
        <v>1</v>
      </c>
      <c r="G35" s="260"/>
    </row>
    <row r="36" spans="2:10" ht="18" customHeight="1">
      <c r="B36" s="264" t="s">
        <v>129</v>
      </c>
      <c r="C36" s="267" t="s">
        <v>130</v>
      </c>
      <c r="D36" s="263">
        <v>0.05</v>
      </c>
      <c r="E36" s="47" t="s">
        <v>131</v>
      </c>
      <c r="F36" s="41">
        <v>4</v>
      </c>
      <c r="G36" s="258"/>
      <c r="H36" s="112">
        <f>H32+1</f>
        <v>6</v>
      </c>
      <c r="I36" s="112">
        <f t="shared" ref="I36" si="5">((D36*G36)/4)*100</f>
        <v>0</v>
      </c>
      <c r="J36" s="113">
        <f t="shared" ref="J36" si="6">D36*100</f>
        <v>5</v>
      </c>
    </row>
    <row r="37" spans="2:10" ht="18" customHeight="1">
      <c r="B37" s="265"/>
      <c r="C37" s="268"/>
      <c r="D37" s="263"/>
      <c r="E37" s="52" t="s">
        <v>132</v>
      </c>
      <c r="F37" s="53">
        <v>3</v>
      </c>
      <c r="G37" s="274"/>
    </row>
    <row r="38" spans="2:10" ht="18" customHeight="1">
      <c r="B38" s="265"/>
      <c r="C38" s="268"/>
      <c r="D38" s="270"/>
      <c r="E38" s="45" t="s">
        <v>133</v>
      </c>
      <c r="F38" s="39">
        <v>2</v>
      </c>
      <c r="G38" s="259"/>
    </row>
    <row r="39" spans="2:10" ht="18" customHeight="1">
      <c r="B39" s="265"/>
      <c r="C39" s="268"/>
      <c r="D39" s="270"/>
      <c r="E39" s="46" t="s">
        <v>134</v>
      </c>
      <c r="F39" s="40">
        <v>1</v>
      </c>
      <c r="G39" s="260"/>
    </row>
    <row r="40" spans="2:10" ht="18" customHeight="1">
      <c r="B40" s="265"/>
      <c r="C40" s="267" t="s">
        <v>135</v>
      </c>
      <c r="D40" s="263">
        <v>0.05</v>
      </c>
      <c r="E40" s="49" t="s">
        <v>136</v>
      </c>
      <c r="F40" s="41">
        <v>4</v>
      </c>
      <c r="G40" s="258"/>
      <c r="H40" s="112">
        <f t="shared" ref="H40" si="7">H36+1</f>
        <v>7</v>
      </c>
      <c r="I40" s="112">
        <f t="shared" ref="I40" si="8">((D40*G40)/4)*100</f>
        <v>0</v>
      </c>
      <c r="J40" s="113">
        <f t="shared" ref="J40" si="9">D40*100</f>
        <v>5</v>
      </c>
    </row>
    <row r="41" spans="2:10" ht="18" customHeight="1">
      <c r="B41" s="265"/>
      <c r="C41" s="268"/>
      <c r="D41" s="270"/>
      <c r="E41" s="50" t="s">
        <v>137</v>
      </c>
      <c r="F41" s="39">
        <v>3</v>
      </c>
      <c r="G41" s="259"/>
    </row>
    <row r="42" spans="2:10" ht="18" customHeight="1">
      <c r="B42" s="265"/>
      <c r="C42" s="268"/>
      <c r="D42" s="270"/>
      <c r="E42" s="50" t="s">
        <v>138</v>
      </c>
      <c r="F42" s="39">
        <v>2</v>
      </c>
      <c r="G42" s="259"/>
    </row>
    <row r="43" spans="2:10" ht="18" customHeight="1">
      <c r="B43" s="273"/>
      <c r="C43" s="268"/>
      <c r="D43" s="270"/>
      <c r="E43" s="51" t="s">
        <v>139</v>
      </c>
      <c r="F43" s="40">
        <v>1</v>
      </c>
      <c r="G43" s="260"/>
    </row>
    <row r="44" spans="2:10" ht="18" customHeight="1">
      <c r="B44" s="264" t="s">
        <v>140</v>
      </c>
      <c r="C44" s="267" t="s">
        <v>141</v>
      </c>
      <c r="D44" s="263">
        <v>0.05</v>
      </c>
      <c r="E44" s="47" t="s">
        <v>142</v>
      </c>
      <c r="F44" s="41">
        <v>4</v>
      </c>
      <c r="G44" s="258"/>
      <c r="H44" s="112">
        <f t="shared" ref="H44" si="10">H40+1</f>
        <v>8</v>
      </c>
      <c r="I44" s="112">
        <f t="shared" ref="I44" si="11">((D44*G44)/4)*100</f>
        <v>0</v>
      </c>
      <c r="J44" s="113">
        <f t="shared" ref="J44" si="12">D44*100</f>
        <v>5</v>
      </c>
    </row>
    <row r="45" spans="2:10" ht="18" customHeight="1">
      <c r="B45" s="265"/>
      <c r="C45" s="268"/>
      <c r="D45" s="263"/>
      <c r="E45" s="45" t="s">
        <v>143</v>
      </c>
      <c r="F45" s="39">
        <v>3</v>
      </c>
      <c r="G45" s="259"/>
    </row>
    <row r="46" spans="2:10" ht="18" customHeight="1">
      <c r="B46" s="265"/>
      <c r="C46" s="268"/>
      <c r="D46" s="263"/>
      <c r="E46" s="45" t="s">
        <v>144</v>
      </c>
      <c r="F46" s="39">
        <v>2</v>
      </c>
      <c r="G46" s="259"/>
    </row>
    <row r="47" spans="2:10" ht="18" customHeight="1">
      <c r="B47" s="265"/>
      <c r="C47" s="268"/>
      <c r="D47" s="263"/>
      <c r="E47" s="46" t="s">
        <v>145</v>
      </c>
      <c r="F47" s="40">
        <v>1</v>
      </c>
      <c r="G47" s="260"/>
    </row>
    <row r="48" spans="2:10" ht="18" customHeight="1">
      <c r="B48" s="265"/>
      <c r="C48" s="267" t="s">
        <v>146</v>
      </c>
      <c r="D48" s="263">
        <v>0.05</v>
      </c>
      <c r="E48" s="49" t="s">
        <v>147</v>
      </c>
      <c r="F48" s="41">
        <v>4</v>
      </c>
      <c r="G48" s="258"/>
      <c r="H48" s="112">
        <f t="shared" ref="H48" si="13">H44+1</f>
        <v>9</v>
      </c>
      <c r="I48" s="112">
        <f t="shared" ref="I48" si="14">((D48*G48)/4)*100</f>
        <v>0</v>
      </c>
      <c r="J48" s="113">
        <f t="shared" ref="J48" si="15">D48*100</f>
        <v>5</v>
      </c>
    </row>
    <row r="49" spans="2:10" ht="18" customHeight="1">
      <c r="B49" s="265"/>
      <c r="C49" s="268"/>
      <c r="D49" s="270"/>
      <c r="E49" s="50" t="s">
        <v>148</v>
      </c>
      <c r="F49" s="39">
        <v>3</v>
      </c>
      <c r="G49" s="259"/>
    </row>
    <row r="50" spans="2:10" ht="18" customHeight="1">
      <c r="B50" s="265"/>
      <c r="C50" s="268"/>
      <c r="D50" s="270"/>
      <c r="E50" s="50" t="s">
        <v>149</v>
      </c>
      <c r="F50" s="39">
        <v>2</v>
      </c>
      <c r="G50" s="259"/>
    </row>
    <row r="51" spans="2:10" ht="18" customHeight="1">
      <c r="B51" s="265"/>
      <c r="C51" s="268"/>
      <c r="D51" s="270"/>
      <c r="E51" s="51" t="s">
        <v>150</v>
      </c>
      <c r="F51" s="40">
        <v>1</v>
      </c>
      <c r="G51" s="260"/>
    </row>
    <row r="52" spans="2:10" ht="18" customHeight="1">
      <c r="B52" s="265"/>
      <c r="C52" s="267" t="s">
        <v>151</v>
      </c>
      <c r="D52" s="263">
        <v>0.05</v>
      </c>
      <c r="E52" s="47" t="s">
        <v>152</v>
      </c>
      <c r="F52" s="41">
        <v>4</v>
      </c>
      <c r="G52" s="258"/>
      <c r="H52" s="112">
        <f t="shared" ref="H52" si="16">H48+1</f>
        <v>10</v>
      </c>
      <c r="I52" s="112">
        <f t="shared" ref="I52" si="17">((D52*G52)/4)*100</f>
        <v>0</v>
      </c>
      <c r="J52" s="113">
        <f t="shared" ref="J52" si="18">D52*100</f>
        <v>5</v>
      </c>
    </row>
    <row r="53" spans="2:10" ht="18" customHeight="1">
      <c r="B53" s="265"/>
      <c r="C53" s="268"/>
      <c r="D53" s="263"/>
      <c r="E53" s="45" t="s">
        <v>153</v>
      </c>
      <c r="F53" s="39">
        <v>3</v>
      </c>
      <c r="G53" s="259"/>
    </row>
    <row r="54" spans="2:10" ht="18" customHeight="1">
      <c r="B54" s="265"/>
      <c r="C54" s="268"/>
      <c r="D54" s="263"/>
      <c r="E54" s="45" t="s">
        <v>154</v>
      </c>
      <c r="F54" s="39">
        <v>2</v>
      </c>
      <c r="G54" s="259"/>
    </row>
    <row r="55" spans="2:10" ht="18" customHeight="1">
      <c r="B55" s="265"/>
      <c r="C55" s="268"/>
      <c r="D55" s="263"/>
      <c r="E55" s="46" t="s">
        <v>155</v>
      </c>
      <c r="F55" s="40">
        <v>1</v>
      </c>
      <c r="G55" s="260"/>
    </row>
    <row r="56" spans="2:10" ht="18" customHeight="1">
      <c r="B56" s="265"/>
      <c r="C56" s="267" t="s">
        <v>156</v>
      </c>
      <c r="D56" s="263">
        <v>0.1</v>
      </c>
      <c r="E56" s="47" t="s">
        <v>157</v>
      </c>
      <c r="F56" s="41">
        <v>4</v>
      </c>
      <c r="G56" s="258"/>
      <c r="H56" s="112">
        <f t="shared" ref="H56" si="19">H52+1</f>
        <v>11</v>
      </c>
      <c r="I56" s="112">
        <f t="shared" ref="I56" si="20">((D56*G56)/4)*100</f>
        <v>0</v>
      </c>
      <c r="J56" s="113">
        <f t="shared" ref="J56" si="21">D56*100</f>
        <v>10</v>
      </c>
    </row>
    <row r="57" spans="2:10" ht="18" customHeight="1">
      <c r="B57" s="265"/>
      <c r="C57" s="268"/>
      <c r="D57" s="263"/>
      <c r="E57" s="45" t="s">
        <v>158</v>
      </c>
      <c r="F57" s="39">
        <v>3</v>
      </c>
      <c r="G57" s="259"/>
    </row>
    <row r="58" spans="2:10" ht="18" customHeight="1">
      <c r="B58" s="265"/>
      <c r="C58" s="268"/>
      <c r="D58" s="263"/>
      <c r="E58" s="45" t="s">
        <v>159</v>
      </c>
      <c r="F58" s="39">
        <v>2</v>
      </c>
      <c r="G58" s="259"/>
    </row>
    <row r="59" spans="2:10" ht="18" customHeight="1">
      <c r="B59" s="265"/>
      <c r="C59" s="268"/>
      <c r="D59" s="263"/>
      <c r="E59" s="46" t="s">
        <v>160</v>
      </c>
      <c r="F59" s="40">
        <v>1</v>
      </c>
      <c r="G59" s="260"/>
    </row>
    <row r="60" spans="2:10" ht="18" customHeight="1">
      <c r="B60" s="265"/>
      <c r="C60" s="261" t="s">
        <v>161</v>
      </c>
      <c r="D60" s="263">
        <v>0.1</v>
      </c>
      <c r="E60" s="47" t="s">
        <v>162</v>
      </c>
      <c r="F60" s="41">
        <v>4</v>
      </c>
      <c r="G60" s="258"/>
      <c r="H60" s="112">
        <f t="shared" ref="H60" si="22">H56+1</f>
        <v>12</v>
      </c>
      <c r="I60" s="112">
        <f t="shared" ref="I60" si="23">((D60*G60)/4)*100</f>
        <v>0</v>
      </c>
      <c r="J60" s="113">
        <f t="shared" ref="J60" si="24">D60*100</f>
        <v>10</v>
      </c>
    </row>
    <row r="61" spans="2:10" ht="18" customHeight="1">
      <c r="B61" s="265"/>
      <c r="C61" s="262"/>
      <c r="D61" s="263"/>
      <c r="E61" s="45" t="s">
        <v>163</v>
      </c>
      <c r="F61" s="39">
        <v>3</v>
      </c>
      <c r="G61" s="259"/>
    </row>
    <row r="62" spans="2:10" ht="18" customHeight="1">
      <c r="B62" s="265"/>
      <c r="C62" s="262"/>
      <c r="D62" s="263"/>
      <c r="E62" s="45" t="s">
        <v>164</v>
      </c>
      <c r="F62" s="39">
        <v>2</v>
      </c>
      <c r="G62" s="259"/>
    </row>
    <row r="63" spans="2:10" ht="18" customHeight="1">
      <c r="B63" s="273"/>
      <c r="C63" s="262"/>
      <c r="D63" s="263"/>
      <c r="E63" s="46" t="s">
        <v>165</v>
      </c>
      <c r="F63" s="40">
        <v>1</v>
      </c>
      <c r="G63" s="260"/>
    </row>
    <row r="64" spans="2:10" ht="18" customHeight="1">
      <c r="B64" s="264" t="s">
        <v>166</v>
      </c>
      <c r="C64" s="267" t="s">
        <v>167</v>
      </c>
      <c r="D64" s="263">
        <v>0.05</v>
      </c>
      <c r="E64" s="47" t="s">
        <v>168</v>
      </c>
      <c r="F64" s="41">
        <v>4</v>
      </c>
      <c r="G64" s="258"/>
      <c r="H64" s="112">
        <f t="shared" ref="H64" si="25">H60+1</f>
        <v>13</v>
      </c>
      <c r="I64" s="112">
        <f t="shared" ref="I64" si="26">((D64*G64)/4)*100</f>
        <v>0</v>
      </c>
      <c r="J64" s="113">
        <f t="shared" ref="J64" si="27">D64*100</f>
        <v>5</v>
      </c>
    </row>
    <row r="65" spans="2:10" ht="18" customHeight="1">
      <c r="B65" s="265"/>
      <c r="C65" s="268"/>
      <c r="D65" s="263"/>
      <c r="E65" s="45" t="s">
        <v>169</v>
      </c>
      <c r="F65" s="39">
        <v>3</v>
      </c>
      <c r="G65" s="259"/>
    </row>
    <row r="66" spans="2:10" ht="18" customHeight="1">
      <c r="B66" s="265"/>
      <c r="C66" s="268"/>
      <c r="D66" s="263"/>
      <c r="E66" s="45" t="s">
        <v>170</v>
      </c>
      <c r="F66" s="39">
        <v>2</v>
      </c>
      <c r="G66" s="259"/>
    </row>
    <row r="67" spans="2:10" ht="18" customHeight="1">
      <c r="B67" s="265"/>
      <c r="C67" s="268"/>
      <c r="D67" s="263"/>
      <c r="E67" s="46" t="s">
        <v>171</v>
      </c>
      <c r="F67" s="40">
        <v>1</v>
      </c>
      <c r="G67" s="260"/>
    </row>
    <row r="68" spans="2:10" ht="18" customHeight="1">
      <c r="B68" s="265"/>
      <c r="C68" s="267" t="s">
        <v>172</v>
      </c>
      <c r="D68" s="263">
        <v>0.1</v>
      </c>
      <c r="E68" s="47" t="s">
        <v>173</v>
      </c>
      <c r="F68" s="41">
        <v>4</v>
      </c>
      <c r="G68" s="258"/>
      <c r="H68" s="112">
        <f t="shared" ref="H68" si="28">H64+1</f>
        <v>14</v>
      </c>
      <c r="I68" s="112">
        <f t="shared" ref="I68" si="29">((D68*G68)/4)*100</f>
        <v>0</v>
      </c>
      <c r="J68" s="113">
        <f t="shared" ref="J68" si="30">D68*100</f>
        <v>10</v>
      </c>
    </row>
    <row r="69" spans="2:10" ht="18" customHeight="1">
      <c r="B69" s="265"/>
      <c r="C69" s="268"/>
      <c r="D69" s="270"/>
      <c r="E69" s="45" t="s">
        <v>174</v>
      </c>
      <c r="F69" s="39">
        <v>3</v>
      </c>
      <c r="G69" s="259"/>
    </row>
    <row r="70" spans="2:10" ht="18" customHeight="1">
      <c r="B70" s="265"/>
      <c r="C70" s="268"/>
      <c r="D70" s="270"/>
      <c r="E70" s="45" t="s">
        <v>175</v>
      </c>
      <c r="F70" s="39">
        <v>2</v>
      </c>
      <c r="G70" s="259"/>
    </row>
    <row r="71" spans="2:10" ht="18" customHeight="1" thickBot="1">
      <c r="B71" s="266"/>
      <c r="C71" s="269"/>
      <c r="D71" s="271"/>
      <c r="E71" s="48" t="s">
        <v>176</v>
      </c>
      <c r="F71" s="42">
        <v>1</v>
      </c>
      <c r="G71" s="272"/>
    </row>
    <row r="72" spans="2:10" ht="18" customHeight="1">
      <c r="F72" s="66" t="s">
        <v>16</v>
      </c>
      <c r="G72" s="14">
        <f>SUMPRODUCT(D32:D71,G32:G71)</f>
        <v>0</v>
      </c>
    </row>
    <row r="73" spans="2:10" ht="18" customHeight="1" thickBot="1">
      <c r="F73" s="67" t="s">
        <v>17</v>
      </c>
      <c r="G73" s="15">
        <f>G72/4*100</f>
        <v>0</v>
      </c>
    </row>
    <row r="74" spans="2:10" ht="18" customHeight="1" thickBot="1"/>
    <row r="75" spans="2:10" ht="24" customHeight="1" thickBot="1">
      <c r="B75" s="245" t="s">
        <v>177</v>
      </c>
      <c r="C75" s="246"/>
      <c r="D75" s="246"/>
      <c r="E75" s="246"/>
      <c r="F75" s="246"/>
      <c r="G75" s="247"/>
    </row>
    <row r="77" spans="2:10" ht="18" customHeight="1" thickBot="1">
      <c r="B77" s="98" t="s">
        <v>16</v>
      </c>
      <c r="C77" s="3"/>
      <c r="D77" s="9"/>
      <c r="E77" s="10"/>
      <c r="F77" s="10"/>
    </row>
    <row r="78" spans="2:10" ht="18" customHeight="1" thickBot="1">
      <c r="B78" s="109" t="s">
        <v>18</v>
      </c>
      <c r="C78" s="108"/>
      <c r="D78" s="10"/>
      <c r="E78" s="10"/>
    </row>
    <row r="79" spans="2:10" ht="18" customHeight="1">
      <c r="B79" s="96" t="s">
        <v>19</v>
      </c>
      <c r="C79" s="54" t="s">
        <v>15</v>
      </c>
      <c r="D79" s="248" t="s">
        <v>20</v>
      </c>
      <c r="E79" s="249"/>
      <c r="F79" s="249"/>
      <c r="G79" s="250"/>
    </row>
    <row r="80" spans="2:10" ht="18" customHeight="1">
      <c r="B80" s="93" t="s">
        <v>178</v>
      </c>
      <c r="C80" s="56">
        <f>G25</f>
        <v>0</v>
      </c>
      <c r="D80" s="251"/>
      <c r="E80" s="251"/>
      <c r="F80" s="251"/>
      <c r="G80" s="252"/>
    </row>
    <row r="81" spans="2:7" ht="18" customHeight="1">
      <c r="B81" s="94" t="s">
        <v>21</v>
      </c>
      <c r="C81" s="6">
        <f>G73</f>
        <v>0</v>
      </c>
      <c r="D81" s="253"/>
      <c r="E81" s="254"/>
      <c r="F81" s="254"/>
      <c r="G81" s="255"/>
    </row>
    <row r="82" spans="2:7" ht="18" customHeight="1" thickBot="1">
      <c r="B82" s="95" t="s">
        <v>16</v>
      </c>
      <c r="C82" s="7">
        <f>SUM(C80:C81)</f>
        <v>0</v>
      </c>
      <c r="D82" s="256"/>
      <c r="E82" s="256"/>
      <c r="F82" s="256"/>
      <c r="G82" s="257"/>
    </row>
  </sheetData>
  <mergeCells count="58">
    <mergeCell ref="B12:B15"/>
    <mergeCell ref="C12:C15"/>
    <mergeCell ref="D12:D15"/>
    <mergeCell ref="G12:G15"/>
    <mergeCell ref="B16:B19"/>
    <mergeCell ref="C16:C19"/>
    <mergeCell ref="D16:D19"/>
    <mergeCell ref="G16:G19"/>
    <mergeCell ref="B1:F1"/>
    <mergeCell ref="B3:G3"/>
    <mergeCell ref="B8:B11"/>
    <mergeCell ref="C8:C11"/>
    <mergeCell ref="D8:D11"/>
    <mergeCell ref="G8:G11"/>
    <mergeCell ref="C32:C35"/>
    <mergeCell ref="D32:D35"/>
    <mergeCell ref="G32:G35"/>
    <mergeCell ref="D20:D23"/>
    <mergeCell ref="G20:G23"/>
    <mergeCell ref="B20:B23"/>
    <mergeCell ref="C20:C23"/>
    <mergeCell ref="B44:B63"/>
    <mergeCell ref="C44:C47"/>
    <mergeCell ref="D44:D47"/>
    <mergeCell ref="C56:C59"/>
    <mergeCell ref="D56:D59"/>
    <mergeCell ref="B27:G27"/>
    <mergeCell ref="B36:B43"/>
    <mergeCell ref="C36:C39"/>
    <mergeCell ref="D36:D39"/>
    <mergeCell ref="G36:G39"/>
    <mergeCell ref="C40:C43"/>
    <mergeCell ref="D40:D43"/>
    <mergeCell ref="G40:G43"/>
    <mergeCell ref="B32:B35"/>
    <mergeCell ref="G44:G47"/>
    <mergeCell ref="C48:C51"/>
    <mergeCell ref="D48:D51"/>
    <mergeCell ref="G48:G51"/>
    <mergeCell ref="C52:C55"/>
    <mergeCell ref="D52:D55"/>
    <mergeCell ref="G52:G55"/>
    <mergeCell ref="G56:G59"/>
    <mergeCell ref="C60:C63"/>
    <mergeCell ref="D60:D63"/>
    <mergeCell ref="G60:G63"/>
    <mergeCell ref="B64:B71"/>
    <mergeCell ref="C64:C67"/>
    <mergeCell ref="D64:D67"/>
    <mergeCell ref="G64:G67"/>
    <mergeCell ref="C68:C71"/>
    <mergeCell ref="D68:D71"/>
    <mergeCell ref="G68:G71"/>
    <mergeCell ref="B75:G75"/>
    <mergeCell ref="D79:G79"/>
    <mergeCell ref="D80:G80"/>
    <mergeCell ref="D81:G81"/>
    <mergeCell ref="D82:G82"/>
  </mergeCells>
  <phoneticPr fontId="6" type="noConversion"/>
  <printOptions horizontalCentered="1"/>
  <pageMargins left="0.15748031496062992" right="0.23622047244094491" top="0.35" bottom="0.44" header="0.31496062992125984" footer="0.37"/>
  <pageSetup paperSize="9" scale="85" orientation="landscape" r:id="rId1"/>
  <headerFooter alignWithMargins="0"/>
  <rowBreaks count="1" manualBreakCount="1">
    <brk id="25" max="16383"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R150"/>
  <sheetViews>
    <sheetView view="pageBreakPreview" zoomScale="85" zoomScaleNormal="100" zoomScaleSheetLayoutView="85" workbookViewId="0">
      <selection activeCell="L4" sqref="L4"/>
    </sheetView>
  </sheetViews>
  <sheetFormatPr defaultColWidth="5.796875" defaultRowHeight="14.4"/>
  <cols>
    <col min="1" max="1" width="5.796875" style="140"/>
    <col min="2" max="2" width="11.3984375" style="140" hidden="1" customWidth="1"/>
    <col min="3" max="3" width="11.3984375" style="140" customWidth="1"/>
    <col min="4" max="4" width="15.19921875" style="140" customWidth="1"/>
    <col min="5" max="5" width="12.69921875" style="140" customWidth="1"/>
    <col min="6" max="6" width="11.296875" style="140" customWidth="1"/>
    <col min="7" max="7" width="21.3984375" style="140" customWidth="1"/>
    <col min="8" max="8" width="19.796875" style="140" customWidth="1"/>
    <col min="9" max="9" width="12.796875" style="140" hidden="1" customWidth="1"/>
    <col min="10" max="10" width="21.296875" style="140" customWidth="1"/>
    <col min="11" max="11" width="23.3984375" style="140" customWidth="1"/>
    <col min="12" max="12" width="12.3984375" style="141" customWidth="1"/>
    <col min="13" max="16384" width="5.796875" style="140"/>
  </cols>
  <sheetData>
    <row r="1" spans="1:18">
      <c r="A1" s="139" t="s">
        <v>282</v>
      </c>
      <c r="B1" s="139"/>
      <c r="C1" s="139"/>
    </row>
    <row r="2" spans="1:18" ht="70.2" customHeight="1" thickBot="1">
      <c r="A2" s="288" t="s">
        <v>298</v>
      </c>
      <c r="B2" s="288"/>
      <c r="C2" s="288"/>
      <c r="D2" s="288"/>
      <c r="E2" s="288"/>
      <c r="F2" s="288"/>
      <c r="G2" s="288"/>
      <c r="H2" s="288"/>
      <c r="I2" s="288"/>
      <c r="J2" s="288"/>
      <c r="K2" s="288"/>
      <c r="L2" s="288"/>
    </row>
    <row r="3" spans="1:18" ht="30" customHeight="1">
      <c r="A3" s="142" t="s">
        <v>283</v>
      </c>
      <c r="B3" s="143" t="s">
        <v>284</v>
      </c>
      <c r="C3" s="143" t="s">
        <v>332</v>
      </c>
      <c r="D3" s="143" t="str">
        <f>HSE!A8</f>
        <v>회사명</v>
      </c>
      <c r="E3" s="143" t="str">
        <f>HSE!I8</f>
        <v>대표자 성명</v>
      </c>
      <c r="F3" s="143" t="s">
        <v>285</v>
      </c>
      <c r="G3" s="143" t="s">
        <v>304</v>
      </c>
      <c r="H3" s="143" t="str">
        <f>HSE!I10</f>
        <v>거래 / 작업 예상 빈도(년)</v>
      </c>
      <c r="I3" s="143" t="s">
        <v>286</v>
      </c>
      <c r="J3" s="143" t="s">
        <v>287</v>
      </c>
      <c r="K3" s="143" t="s">
        <v>288</v>
      </c>
      <c r="L3" s="144" t="s">
        <v>303</v>
      </c>
      <c r="M3" s="141"/>
      <c r="N3" s="141"/>
      <c r="O3" s="141"/>
      <c r="P3" s="141"/>
      <c r="Q3" s="141"/>
      <c r="R3" s="141"/>
    </row>
    <row r="4" spans="1:18" ht="25.2" customHeight="1">
      <c r="A4" s="145">
        <v>1</v>
      </c>
      <c r="B4" s="146" t="s">
        <v>289</v>
      </c>
      <c r="C4" s="146" t="s">
        <v>301</v>
      </c>
      <c r="D4" s="146" t="str">
        <f>HSE!E8</f>
        <v>길동상사</v>
      </c>
      <c r="E4" s="146" t="str">
        <f>HSE!M8</f>
        <v>홍길돌</v>
      </c>
      <c r="F4" s="146" t="str">
        <f>HSE!U4</f>
        <v>제조업</v>
      </c>
      <c r="G4" s="146" t="s">
        <v>305</v>
      </c>
      <c r="H4" s="146">
        <f>HSE!M10</f>
        <v>0</v>
      </c>
      <c r="I4" s="146"/>
      <c r="J4" s="146" t="str">
        <f>HSE!E9</f>
        <v>010-1234-5678</v>
      </c>
      <c r="K4" s="154">
        <f>HSE!U9</f>
        <v>0</v>
      </c>
      <c r="L4" s="159">
        <f>HSE!Z15</f>
        <v>100</v>
      </c>
      <c r="M4" s="141"/>
      <c r="N4" s="141"/>
      <c r="O4" s="141"/>
      <c r="P4" s="141"/>
      <c r="Q4" s="141"/>
      <c r="R4" s="141"/>
    </row>
    <row r="5" spans="1:18" ht="25.2" customHeight="1">
      <c r="A5" s="145">
        <v>2</v>
      </c>
      <c r="B5" s="146" t="s">
        <v>289</v>
      </c>
      <c r="C5" s="146"/>
      <c r="D5" s="146"/>
      <c r="E5" s="146"/>
      <c r="F5" s="146"/>
      <c r="G5" s="146"/>
      <c r="H5" s="146"/>
      <c r="I5" s="146"/>
      <c r="J5" s="146"/>
      <c r="K5" s="154"/>
      <c r="L5" s="159"/>
      <c r="M5" s="141"/>
      <c r="N5" s="141"/>
      <c r="O5" s="141"/>
      <c r="P5" s="141"/>
      <c r="Q5" s="141"/>
      <c r="R5" s="141"/>
    </row>
    <row r="6" spans="1:18" ht="25.2" customHeight="1">
      <c r="A6" s="145">
        <v>3</v>
      </c>
      <c r="B6" s="146" t="s">
        <v>290</v>
      </c>
      <c r="C6" s="146"/>
      <c r="D6" s="146"/>
      <c r="E6" s="146"/>
      <c r="F6" s="146"/>
      <c r="G6" s="146"/>
      <c r="H6" s="146"/>
      <c r="I6" s="146"/>
      <c r="J6" s="146"/>
      <c r="K6" s="154"/>
      <c r="L6" s="159"/>
      <c r="M6" s="141"/>
      <c r="N6" s="141"/>
      <c r="O6" s="141"/>
      <c r="P6" s="141"/>
      <c r="Q6" s="141"/>
      <c r="R6" s="141"/>
    </row>
    <row r="7" spans="1:18" ht="25.2" customHeight="1">
      <c r="A7" s="145">
        <v>4</v>
      </c>
      <c r="B7" s="146" t="s">
        <v>290</v>
      </c>
      <c r="C7" s="146"/>
      <c r="D7" s="146"/>
      <c r="E7" s="146"/>
      <c r="F7" s="146"/>
      <c r="G7" s="146"/>
      <c r="H7" s="146"/>
      <c r="I7" s="146"/>
      <c r="J7" s="146"/>
      <c r="K7" s="154"/>
      <c r="L7" s="159"/>
      <c r="M7" s="141"/>
      <c r="N7" s="141"/>
      <c r="O7" s="141"/>
      <c r="P7" s="141"/>
      <c r="Q7" s="141"/>
      <c r="R7" s="141"/>
    </row>
    <row r="8" spans="1:18" ht="25.2" customHeight="1">
      <c r="A8" s="145">
        <v>5</v>
      </c>
      <c r="B8" s="146" t="s">
        <v>290</v>
      </c>
      <c r="C8" s="146"/>
      <c r="D8" s="146"/>
      <c r="E8" s="146"/>
      <c r="F8" s="146"/>
      <c r="G8" s="146"/>
      <c r="H8" s="146"/>
      <c r="I8" s="146"/>
      <c r="J8" s="146"/>
      <c r="K8" s="154"/>
      <c r="L8" s="159"/>
      <c r="M8" s="141"/>
      <c r="N8" s="141"/>
      <c r="O8" s="141"/>
      <c r="P8" s="141"/>
      <c r="Q8" s="141"/>
      <c r="R8" s="141"/>
    </row>
    <row r="9" spans="1:18" ht="25.2" customHeight="1">
      <c r="A9" s="145">
        <v>6</v>
      </c>
      <c r="B9" s="146" t="s">
        <v>290</v>
      </c>
      <c r="C9" s="146"/>
      <c r="D9" s="146"/>
      <c r="E9" s="146"/>
      <c r="F9" s="146"/>
      <c r="G9" s="146"/>
      <c r="H9" s="146"/>
      <c r="I9" s="146"/>
      <c r="J9" s="146"/>
      <c r="K9" s="154"/>
      <c r="L9" s="159"/>
      <c r="M9" s="141"/>
      <c r="N9" s="141"/>
      <c r="O9" s="141"/>
      <c r="P9" s="141"/>
      <c r="Q9" s="141"/>
      <c r="R9" s="141"/>
    </row>
    <row r="10" spans="1:18" ht="25.2" customHeight="1">
      <c r="A10" s="145">
        <v>7</v>
      </c>
      <c r="B10" s="146" t="s">
        <v>291</v>
      </c>
      <c r="C10" s="146"/>
      <c r="D10" s="146"/>
      <c r="E10" s="146"/>
      <c r="F10" s="146"/>
      <c r="G10" s="146"/>
      <c r="H10" s="146"/>
      <c r="I10" s="146"/>
      <c r="J10" s="146"/>
      <c r="K10" s="154"/>
      <c r="L10" s="159"/>
      <c r="M10" s="141"/>
      <c r="N10" s="141"/>
      <c r="O10" s="141"/>
      <c r="P10" s="141"/>
      <c r="Q10" s="141"/>
      <c r="R10" s="141"/>
    </row>
    <row r="11" spans="1:18" ht="25.2" customHeight="1">
      <c r="A11" s="145">
        <v>8</v>
      </c>
      <c r="B11" s="146" t="s">
        <v>291</v>
      </c>
      <c r="C11" s="146"/>
      <c r="D11" s="146"/>
      <c r="E11" s="146"/>
      <c r="F11" s="146"/>
      <c r="G11" s="146"/>
      <c r="H11" s="146"/>
      <c r="I11" s="146"/>
      <c r="J11" s="146"/>
      <c r="K11" s="154"/>
      <c r="L11" s="159"/>
      <c r="M11" s="141"/>
      <c r="N11" s="141"/>
      <c r="O11" s="141"/>
      <c r="P11" s="141"/>
      <c r="Q11" s="141"/>
      <c r="R11" s="141"/>
    </row>
    <row r="12" spans="1:18" ht="25.2" customHeight="1">
      <c r="A12" s="145">
        <v>9</v>
      </c>
      <c r="B12" s="146" t="s">
        <v>291</v>
      </c>
      <c r="C12" s="146"/>
      <c r="D12" s="146"/>
      <c r="E12" s="146"/>
      <c r="F12" s="146"/>
      <c r="G12" s="146"/>
      <c r="H12" s="146"/>
      <c r="I12" s="146"/>
      <c r="J12" s="146"/>
      <c r="K12" s="154"/>
      <c r="L12" s="159"/>
      <c r="M12" s="141"/>
      <c r="N12" s="141"/>
      <c r="O12" s="141"/>
      <c r="P12" s="141"/>
      <c r="Q12" s="141"/>
      <c r="R12" s="141"/>
    </row>
    <row r="13" spans="1:18" ht="25.2" customHeight="1">
      <c r="A13" s="145">
        <v>10</v>
      </c>
      <c r="B13" s="146" t="s">
        <v>291</v>
      </c>
      <c r="C13" s="146"/>
      <c r="D13" s="146"/>
      <c r="E13" s="146"/>
      <c r="F13" s="146"/>
      <c r="G13" s="146"/>
      <c r="H13" s="146"/>
      <c r="I13" s="146"/>
      <c r="J13" s="146"/>
      <c r="K13" s="154"/>
      <c r="L13" s="159"/>
      <c r="M13" s="141"/>
      <c r="N13" s="141"/>
      <c r="O13" s="141"/>
      <c r="P13" s="141"/>
      <c r="Q13" s="141"/>
      <c r="R13" s="141"/>
    </row>
    <row r="14" spans="1:18" ht="25.2" customHeight="1">
      <c r="A14" s="145">
        <v>11</v>
      </c>
      <c r="B14" s="146" t="s">
        <v>291</v>
      </c>
      <c r="C14" s="146"/>
      <c r="D14" s="146"/>
      <c r="E14" s="146"/>
      <c r="F14" s="146"/>
      <c r="G14" s="146"/>
      <c r="H14" s="146"/>
      <c r="I14" s="146"/>
      <c r="J14" s="146"/>
      <c r="K14" s="154"/>
      <c r="L14" s="159"/>
      <c r="M14" s="141"/>
      <c r="N14" s="141"/>
      <c r="O14" s="141"/>
      <c r="P14" s="141"/>
      <c r="Q14" s="141"/>
      <c r="R14" s="141"/>
    </row>
    <row r="15" spans="1:18" ht="25.2" customHeight="1">
      <c r="A15" s="145">
        <v>12</v>
      </c>
      <c r="B15" s="146" t="s">
        <v>291</v>
      </c>
      <c r="C15" s="146"/>
      <c r="D15" s="146"/>
      <c r="E15" s="146"/>
      <c r="F15" s="146"/>
      <c r="G15" s="146"/>
      <c r="H15" s="146"/>
      <c r="I15" s="146"/>
      <c r="J15" s="146"/>
      <c r="K15" s="154"/>
      <c r="L15" s="159"/>
      <c r="M15" s="141"/>
      <c r="N15" s="141"/>
      <c r="O15" s="141"/>
      <c r="P15" s="141"/>
      <c r="Q15" s="141"/>
      <c r="R15" s="141"/>
    </row>
    <row r="16" spans="1:18" ht="25.2" customHeight="1">
      <c r="A16" s="145">
        <v>13</v>
      </c>
      <c r="B16" s="146" t="s">
        <v>291</v>
      </c>
      <c r="C16" s="146"/>
      <c r="D16" s="146"/>
      <c r="E16" s="146"/>
      <c r="F16" s="146"/>
      <c r="G16" s="146"/>
      <c r="H16" s="146"/>
      <c r="I16" s="146"/>
      <c r="J16" s="146"/>
      <c r="K16" s="154"/>
      <c r="L16" s="159"/>
      <c r="M16" s="141"/>
      <c r="N16" s="141"/>
      <c r="O16" s="141"/>
      <c r="P16" s="141"/>
      <c r="Q16" s="141"/>
      <c r="R16" s="141"/>
    </row>
    <row r="17" spans="1:18" ht="25.2" customHeight="1">
      <c r="A17" s="145">
        <v>14</v>
      </c>
      <c r="B17" s="146" t="s">
        <v>291</v>
      </c>
      <c r="C17" s="146"/>
      <c r="D17" s="146"/>
      <c r="E17" s="146"/>
      <c r="F17" s="146"/>
      <c r="G17" s="146"/>
      <c r="H17" s="146"/>
      <c r="I17" s="146"/>
      <c r="J17" s="146"/>
      <c r="K17" s="154"/>
      <c r="L17" s="159"/>
      <c r="M17" s="141"/>
      <c r="N17" s="141"/>
      <c r="O17" s="141"/>
      <c r="P17" s="141"/>
      <c r="Q17" s="141"/>
      <c r="R17" s="141"/>
    </row>
    <row r="18" spans="1:18" ht="25.2" customHeight="1">
      <c r="A18" s="145">
        <v>15</v>
      </c>
      <c r="B18" s="146" t="s">
        <v>292</v>
      </c>
      <c r="C18" s="146"/>
      <c r="D18" s="146"/>
      <c r="E18" s="146"/>
      <c r="F18" s="146"/>
      <c r="G18" s="146"/>
      <c r="H18" s="146"/>
      <c r="I18" s="146"/>
      <c r="J18" s="146"/>
      <c r="K18" s="154"/>
      <c r="L18" s="159"/>
      <c r="M18" s="141"/>
      <c r="N18" s="141"/>
      <c r="O18" s="141"/>
      <c r="P18" s="141"/>
      <c r="Q18" s="141"/>
      <c r="R18" s="141"/>
    </row>
    <row r="19" spans="1:18" ht="25.2" customHeight="1">
      <c r="A19" s="145">
        <v>16</v>
      </c>
      <c r="B19" s="146" t="s">
        <v>292</v>
      </c>
      <c r="C19" s="146"/>
      <c r="D19" s="146"/>
      <c r="E19" s="146"/>
      <c r="F19" s="146"/>
      <c r="G19" s="146"/>
      <c r="H19" s="146"/>
      <c r="I19" s="146"/>
      <c r="J19" s="146"/>
      <c r="K19" s="154"/>
      <c r="L19" s="159"/>
      <c r="M19" s="141"/>
      <c r="N19" s="141"/>
      <c r="O19" s="141"/>
      <c r="P19" s="141"/>
      <c r="Q19" s="141"/>
      <c r="R19" s="141"/>
    </row>
    <row r="20" spans="1:18" ht="25.2" customHeight="1">
      <c r="A20" s="145">
        <v>17</v>
      </c>
      <c r="B20" s="146" t="s">
        <v>292</v>
      </c>
      <c r="C20" s="146"/>
      <c r="D20" s="146"/>
      <c r="E20" s="146"/>
      <c r="F20" s="146"/>
      <c r="G20" s="146"/>
      <c r="H20" s="146"/>
      <c r="I20" s="146"/>
      <c r="J20" s="146"/>
      <c r="K20" s="154"/>
      <c r="L20" s="159"/>
    </row>
    <row r="21" spans="1:18" ht="25.2" customHeight="1">
      <c r="A21" s="145">
        <v>18</v>
      </c>
      <c r="B21" s="146" t="s">
        <v>292</v>
      </c>
      <c r="C21" s="146"/>
      <c r="D21" s="146"/>
      <c r="E21" s="146"/>
      <c r="F21" s="146"/>
      <c r="G21" s="146"/>
      <c r="H21" s="146"/>
      <c r="I21" s="146"/>
      <c r="J21" s="146"/>
      <c r="K21" s="154"/>
      <c r="L21" s="159"/>
    </row>
    <row r="22" spans="1:18" ht="25.2" customHeight="1">
      <c r="A22" s="145">
        <v>19</v>
      </c>
      <c r="B22" s="146" t="s">
        <v>292</v>
      </c>
      <c r="C22" s="146"/>
      <c r="D22" s="147"/>
      <c r="E22" s="147"/>
      <c r="F22" s="147"/>
      <c r="G22" s="147"/>
      <c r="H22" s="147"/>
      <c r="I22" s="147"/>
      <c r="J22" s="147"/>
      <c r="K22" s="154"/>
      <c r="L22" s="159"/>
    </row>
    <row r="23" spans="1:18" ht="25.2" customHeight="1">
      <c r="A23" s="145">
        <v>20</v>
      </c>
      <c r="B23" s="146" t="s">
        <v>292</v>
      </c>
      <c r="C23" s="146"/>
      <c r="D23" s="147"/>
      <c r="E23" s="147"/>
      <c r="F23" s="147"/>
      <c r="G23" s="147"/>
      <c r="H23" s="148"/>
      <c r="I23" s="147"/>
      <c r="J23" s="148"/>
      <c r="K23" s="154"/>
      <c r="L23" s="159"/>
    </row>
    <row r="24" spans="1:18" ht="25.2" customHeight="1">
      <c r="A24" s="145">
        <v>21</v>
      </c>
      <c r="B24" s="146" t="s">
        <v>292</v>
      </c>
      <c r="C24" s="146"/>
      <c r="D24" s="147"/>
      <c r="E24" s="147"/>
      <c r="F24" s="147"/>
      <c r="G24" s="147"/>
      <c r="H24" s="148"/>
      <c r="I24" s="147"/>
      <c r="J24" s="148"/>
      <c r="K24" s="154"/>
      <c r="L24" s="159"/>
    </row>
    <row r="25" spans="1:18" ht="25.2" customHeight="1">
      <c r="A25" s="145">
        <v>22</v>
      </c>
      <c r="B25" s="146" t="s">
        <v>292</v>
      </c>
      <c r="C25" s="146"/>
      <c r="D25" s="147"/>
      <c r="E25" s="147"/>
      <c r="F25" s="147"/>
      <c r="G25" s="147"/>
      <c r="H25" s="148"/>
      <c r="I25" s="147"/>
      <c r="J25" s="148"/>
      <c r="K25" s="154"/>
      <c r="L25" s="159"/>
    </row>
    <row r="26" spans="1:18" ht="25.2" customHeight="1">
      <c r="A26" s="145">
        <v>23</v>
      </c>
      <c r="B26" s="146" t="s">
        <v>292</v>
      </c>
      <c r="C26" s="146"/>
      <c r="D26" s="147"/>
      <c r="E26" s="147"/>
      <c r="F26" s="147"/>
      <c r="G26" s="147"/>
      <c r="H26" s="148"/>
      <c r="I26" s="147"/>
      <c r="J26" s="148"/>
      <c r="K26" s="154"/>
      <c r="L26" s="159"/>
    </row>
    <row r="27" spans="1:18" ht="25.2" customHeight="1">
      <c r="A27" s="145">
        <v>24</v>
      </c>
      <c r="B27" s="146" t="s">
        <v>292</v>
      </c>
      <c r="C27" s="146"/>
      <c r="D27" s="146"/>
      <c r="E27" s="146"/>
      <c r="F27" s="146"/>
      <c r="G27" s="146"/>
      <c r="H27" s="146"/>
      <c r="I27" s="146"/>
      <c r="J27" s="146"/>
      <c r="K27" s="154"/>
      <c r="L27" s="159"/>
    </row>
    <row r="28" spans="1:18" ht="25.2" customHeight="1">
      <c r="A28" s="145">
        <v>25</v>
      </c>
      <c r="B28" s="146" t="s">
        <v>293</v>
      </c>
      <c r="C28" s="146"/>
      <c r="D28" s="146"/>
      <c r="E28" s="146"/>
      <c r="F28" s="146"/>
      <c r="G28" s="146"/>
      <c r="H28" s="146"/>
      <c r="I28" s="146"/>
      <c r="J28" s="146"/>
      <c r="K28" s="154"/>
      <c r="L28" s="159"/>
    </row>
    <row r="29" spans="1:18" ht="25.2" customHeight="1">
      <c r="A29" s="145">
        <v>26</v>
      </c>
      <c r="B29" s="146" t="s">
        <v>293</v>
      </c>
      <c r="C29" s="146"/>
      <c r="D29" s="146"/>
      <c r="E29" s="146"/>
      <c r="F29" s="146"/>
      <c r="G29" s="146"/>
      <c r="H29" s="146"/>
      <c r="I29" s="146"/>
      <c r="J29" s="146"/>
      <c r="K29" s="154"/>
      <c r="L29" s="159"/>
    </row>
    <row r="30" spans="1:18" ht="25.2" customHeight="1">
      <c r="A30" s="145">
        <v>27</v>
      </c>
      <c r="B30" s="146" t="s">
        <v>293</v>
      </c>
      <c r="C30" s="146"/>
      <c r="D30" s="146"/>
      <c r="E30" s="146"/>
      <c r="F30" s="146"/>
      <c r="G30" s="146"/>
      <c r="H30" s="146"/>
      <c r="I30" s="146"/>
      <c r="J30" s="146"/>
      <c r="K30" s="154"/>
      <c r="L30" s="159"/>
    </row>
    <row r="31" spans="1:18" ht="25.2" customHeight="1">
      <c r="A31" s="145">
        <v>28</v>
      </c>
      <c r="B31" s="146" t="s">
        <v>293</v>
      </c>
      <c r="C31" s="146"/>
      <c r="D31" s="146"/>
      <c r="E31" s="146"/>
      <c r="F31" s="146"/>
      <c r="G31" s="146"/>
      <c r="H31" s="146"/>
      <c r="I31" s="146"/>
      <c r="J31" s="146"/>
      <c r="K31" s="154"/>
      <c r="L31" s="159"/>
    </row>
    <row r="32" spans="1:18" ht="25.2" customHeight="1">
      <c r="A32" s="145">
        <v>29</v>
      </c>
      <c r="B32" s="146" t="s">
        <v>293</v>
      </c>
      <c r="C32" s="146"/>
      <c r="D32" s="146"/>
      <c r="E32" s="146"/>
      <c r="F32" s="146"/>
      <c r="G32" s="146"/>
      <c r="H32" s="146"/>
      <c r="I32" s="146"/>
      <c r="J32" s="146"/>
      <c r="K32" s="154"/>
      <c r="L32" s="159"/>
    </row>
    <row r="33" spans="1:12" ht="25.2" customHeight="1">
      <c r="A33" s="145">
        <v>30</v>
      </c>
      <c r="B33" s="146" t="s">
        <v>293</v>
      </c>
      <c r="C33" s="146"/>
      <c r="D33" s="146"/>
      <c r="E33" s="146"/>
      <c r="F33" s="146"/>
      <c r="G33" s="146"/>
      <c r="H33" s="146"/>
      <c r="I33" s="146"/>
      <c r="J33" s="146"/>
      <c r="K33" s="154"/>
      <c r="L33" s="159"/>
    </row>
    <row r="34" spans="1:12" ht="25.2" customHeight="1">
      <c r="A34" s="145">
        <v>31</v>
      </c>
      <c r="B34" s="146" t="s">
        <v>293</v>
      </c>
      <c r="C34" s="146"/>
      <c r="D34" s="146"/>
      <c r="E34" s="146"/>
      <c r="F34" s="146"/>
      <c r="G34" s="146"/>
      <c r="H34" s="146"/>
      <c r="I34" s="146"/>
      <c r="J34" s="146"/>
      <c r="K34" s="154"/>
      <c r="L34" s="159"/>
    </row>
    <row r="35" spans="1:12" ht="25.2" customHeight="1">
      <c r="A35" s="145">
        <v>32</v>
      </c>
      <c r="B35" s="146" t="s">
        <v>293</v>
      </c>
      <c r="C35" s="146"/>
      <c r="D35" s="146"/>
      <c r="E35" s="146"/>
      <c r="F35" s="146"/>
      <c r="G35" s="146"/>
      <c r="H35" s="146"/>
      <c r="I35" s="146"/>
      <c r="J35" s="146"/>
      <c r="K35" s="154"/>
      <c r="L35" s="159"/>
    </row>
    <row r="36" spans="1:12" ht="25.2" customHeight="1">
      <c r="A36" s="145">
        <v>33</v>
      </c>
      <c r="B36" s="146" t="s">
        <v>293</v>
      </c>
      <c r="C36" s="146"/>
      <c r="D36" s="146"/>
      <c r="E36" s="146"/>
      <c r="F36" s="146"/>
      <c r="G36" s="146"/>
      <c r="H36" s="146"/>
      <c r="I36" s="146"/>
      <c r="J36" s="146"/>
      <c r="K36" s="154"/>
      <c r="L36" s="159"/>
    </row>
    <row r="37" spans="1:12" ht="25.2" customHeight="1">
      <c r="A37" s="145">
        <v>34</v>
      </c>
      <c r="B37" s="146" t="s">
        <v>293</v>
      </c>
      <c r="C37" s="146"/>
      <c r="D37" s="146"/>
      <c r="E37" s="146"/>
      <c r="F37" s="146"/>
      <c r="G37" s="146"/>
      <c r="H37" s="146"/>
      <c r="I37" s="146"/>
      <c r="J37" s="146"/>
      <c r="K37" s="154"/>
      <c r="L37" s="159"/>
    </row>
    <row r="38" spans="1:12" ht="25.2" customHeight="1">
      <c r="A38" s="145">
        <v>35</v>
      </c>
      <c r="B38" s="146" t="s">
        <v>293</v>
      </c>
      <c r="C38" s="146"/>
      <c r="D38" s="146"/>
      <c r="E38" s="146"/>
      <c r="F38" s="146"/>
      <c r="G38" s="146"/>
      <c r="H38" s="146"/>
      <c r="I38" s="146"/>
      <c r="J38" s="146"/>
      <c r="K38" s="154"/>
      <c r="L38" s="159"/>
    </row>
    <row r="39" spans="1:12" ht="25.2" customHeight="1">
      <c r="A39" s="145">
        <v>36</v>
      </c>
      <c r="B39" s="146" t="s">
        <v>293</v>
      </c>
      <c r="C39" s="146"/>
      <c r="D39" s="146"/>
      <c r="E39" s="146"/>
      <c r="F39" s="146"/>
      <c r="G39" s="146"/>
      <c r="H39" s="146"/>
      <c r="I39" s="146"/>
      <c r="J39" s="146"/>
      <c r="K39" s="154"/>
      <c r="L39" s="159"/>
    </row>
    <row r="40" spans="1:12" ht="25.2" customHeight="1">
      <c r="A40" s="145">
        <v>37</v>
      </c>
      <c r="B40" s="146" t="s">
        <v>293</v>
      </c>
      <c r="C40" s="146"/>
      <c r="D40" s="146"/>
      <c r="E40" s="146"/>
      <c r="F40" s="146"/>
      <c r="G40" s="146"/>
      <c r="H40" s="146"/>
      <c r="I40" s="146"/>
      <c r="J40" s="146"/>
      <c r="K40" s="154"/>
      <c r="L40" s="159"/>
    </row>
    <row r="41" spans="1:12" ht="25.2" customHeight="1">
      <c r="A41" s="145">
        <v>38</v>
      </c>
      <c r="B41" s="146" t="s">
        <v>293</v>
      </c>
      <c r="C41" s="146"/>
      <c r="D41" s="146"/>
      <c r="E41" s="146"/>
      <c r="F41" s="146"/>
      <c r="G41" s="146"/>
      <c r="H41" s="146"/>
      <c r="I41" s="146"/>
      <c r="J41" s="146"/>
      <c r="K41" s="154"/>
      <c r="L41" s="159"/>
    </row>
    <row r="42" spans="1:12" ht="25.2" customHeight="1">
      <c r="A42" s="145">
        <v>39</v>
      </c>
      <c r="B42" s="146" t="s">
        <v>294</v>
      </c>
      <c r="C42" s="146"/>
      <c r="D42" s="146"/>
      <c r="E42" s="146"/>
      <c r="F42" s="146"/>
      <c r="G42" s="146"/>
      <c r="H42" s="146"/>
      <c r="I42" s="146"/>
      <c r="J42" s="146"/>
      <c r="K42" s="154"/>
      <c r="L42" s="159"/>
    </row>
    <row r="43" spans="1:12" ht="25.2" customHeight="1">
      <c r="A43" s="145">
        <v>40</v>
      </c>
      <c r="B43" s="146" t="s">
        <v>294</v>
      </c>
      <c r="C43" s="146"/>
      <c r="D43" s="146"/>
      <c r="E43" s="146"/>
      <c r="F43" s="146"/>
      <c r="G43" s="146"/>
      <c r="H43" s="146"/>
      <c r="I43" s="146"/>
      <c r="J43" s="146"/>
      <c r="K43" s="154"/>
      <c r="L43" s="159"/>
    </row>
    <row r="44" spans="1:12" ht="25.2" customHeight="1">
      <c r="A44" s="145">
        <v>41</v>
      </c>
      <c r="B44" s="146" t="s">
        <v>294</v>
      </c>
      <c r="C44" s="146"/>
      <c r="D44" s="146"/>
      <c r="E44" s="146"/>
      <c r="F44" s="146"/>
      <c r="G44" s="146"/>
      <c r="H44" s="146"/>
      <c r="I44" s="146"/>
      <c r="J44" s="146"/>
      <c r="K44" s="154"/>
      <c r="L44" s="159"/>
    </row>
    <row r="45" spans="1:12" ht="25.2" customHeight="1">
      <c r="A45" s="145">
        <v>42</v>
      </c>
      <c r="B45" s="146" t="s">
        <v>294</v>
      </c>
      <c r="C45" s="146"/>
      <c r="D45" s="146"/>
      <c r="E45" s="146"/>
      <c r="F45" s="146"/>
      <c r="G45" s="146"/>
      <c r="H45" s="146"/>
      <c r="I45" s="146"/>
      <c r="J45" s="146"/>
      <c r="K45" s="154"/>
      <c r="L45" s="159"/>
    </row>
    <row r="46" spans="1:12" ht="25.2" customHeight="1">
      <c r="A46" s="145">
        <v>43</v>
      </c>
      <c r="B46" s="146" t="s">
        <v>294</v>
      </c>
      <c r="C46" s="146"/>
      <c r="D46" s="146"/>
      <c r="E46" s="146"/>
      <c r="F46" s="146"/>
      <c r="G46" s="146"/>
      <c r="H46" s="146"/>
      <c r="I46" s="146"/>
      <c r="J46" s="146"/>
      <c r="K46" s="154"/>
      <c r="L46" s="159"/>
    </row>
    <row r="47" spans="1:12" ht="25.2" customHeight="1">
      <c r="A47" s="145">
        <v>44</v>
      </c>
      <c r="B47" s="146" t="s">
        <v>294</v>
      </c>
      <c r="C47" s="146"/>
      <c r="D47" s="146"/>
      <c r="E47" s="146"/>
      <c r="F47" s="146"/>
      <c r="G47" s="146"/>
      <c r="H47" s="146"/>
      <c r="I47" s="146"/>
      <c r="J47" s="146"/>
      <c r="K47" s="154"/>
      <c r="L47" s="159"/>
    </row>
    <row r="48" spans="1:12" ht="25.2" customHeight="1">
      <c r="A48" s="145">
        <v>45</v>
      </c>
      <c r="B48" s="146" t="s">
        <v>293</v>
      </c>
      <c r="C48" s="146"/>
      <c r="D48" s="146"/>
      <c r="E48" s="146"/>
      <c r="F48" s="146"/>
      <c r="G48" s="146"/>
      <c r="H48" s="146"/>
      <c r="I48" s="146"/>
      <c r="J48" s="146"/>
      <c r="K48" s="154"/>
      <c r="L48" s="159"/>
    </row>
    <row r="49" spans="1:12" ht="25.2" customHeight="1">
      <c r="A49" s="145">
        <v>46</v>
      </c>
      <c r="B49" s="146" t="s">
        <v>293</v>
      </c>
      <c r="C49" s="146"/>
      <c r="D49" s="146"/>
      <c r="E49" s="146"/>
      <c r="F49" s="146"/>
      <c r="G49" s="146"/>
      <c r="H49" s="146"/>
      <c r="I49" s="146"/>
      <c r="J49" s="146"/>
      <c r="K49" s="154"/>
      <c r="L49" s="159"/>
    </row>
    <row r="50" spans="1:12" ht="25.2" customHeight="1">
      <c r="A50" s="145">
        <v>47</v>
      </c>
      <c r="B50" s="146" t="s">
        <v>293</v>
      </c>
      <c r="C50" s="146"/>
      <c r="D50" s="146"/>
      <c r="E50" s="146"/>
      <c r="F50" s="146"/>
      <c r="G50" s="146"/>
      <c r="H50" s="146"/>
      <c r="I50" s="146"/>
      <c r="J50" s="146"/>
      <c r="K50" s="154"/>
      <c r="L50" s="159"/>
    </row>
    <row r="51" spans="1:12" ht="25.2" customHeight="1">
      <c r="A51" s="145">
        <v>48</v>
      </c>
      <c r="B51" s="146" t="s">
        <v>294</v>
      </c>
      <c r="C51" s="146"/>
      <c r="D51" s="146"/>
      <c r="E51" s="146"/>
      <c r="F51" s="146"/>
      <c r="G51" s="146"/>
      <c r="H51" s="146"/>
      <c r="I51" s="146"/>
      <c r="J51" s="155"/>
      <c r="K51" s="154"/>
      <c r="L51" s="159"/>
    </row>
    <row r="52" spans="1:12" ht="25.2" customHeight="1">
      <c r="A52" s="145">
        <v>49</v>
      </c>
      <c r="B52" s="146" t="s">
        <v>294</v>
      </c>
      <c r="C52" s="146"/>
      <c r="D52" s="146"/>
      <c r="E52" s="146"/>
      <c r="F52" s="146"/>
      <c r="G52" s="146"/>
      <c r="H52" s="146"/>
      <c r="I52" s="146"/>
      <c r="J52" s="155"/>
      <c r="K52" s="154"/>
      <c r="L52" s="159"/>
    </row>
    <row r="53" spans="1:12" ht="25.2" customHeight="1">
      <c r="A53" s="145">
        <v>50</v>
      </c>
      <c r="B53" s="146" t="s">
        <v>294</v>
      </c>
      <c r="C53" s="146"/>
      <c r="D53" s="146"/>
      <c r="E53" s="146"/>
      <c r="F53" s="146"/>
      <c r="G53" s="146"/>
      <c r="H53" s="146"/>
      <c r="I53" s="146"/>
      <c r="J53" s="155"/>
      <c r="K53" s="154"/>
      <c r="L53" s="159"/>
    </row>
    <row r="54" spans="1:12" ht="25.2" customHeight="1">
      <c r="A54" s="145">
        <v>51</v>
      </c>
      <c r="B54" s="146" t="s">
        <v>294</v>
      </c>
      <c r="C54" s="146"/>
      <c r="D54" s="146"/>
      <c r="E54" s="146"/>
      <c r="F54" s="146"/>
      <c r="G54" s="146"/>
      <c r="H54" s="146"/>
      <c r="I54" s="146"/>
      <c r="J54" s="146"/>
      <c r="K54" s="154"/>
      <c r="L54" s="159"/>
    </row>
    <row r="55" spans="1:12" ht="25.2" customHeight="1">
      <c r="A55" s="145">
        <v>52</v>
      </c>
      <c r="B55" s="146" t="s">
        <v>294</v>
      </c>
      <c r="C55" s="146"/>
      <c r="D55" s="146"/>
      <c r="E55" s="146"/>
      <c r="F55" s="146"/>
      <c r="G55" s="146"/>
      <c r="H55" s="146"/>
      <c r="I55" s="146"/>
      <c r="J55" s="146"/>
      <c r="K55" s="154"/>
      <c r="L55" s="159"/>
    </row>
    <row r="56" spans="1:12" ht="25.2" customHeight="1">
      <c r="A56" s="145">
        <v>53</v>
      </c>
      <c r="B56" s="146" t="s">
        <v>294</v>
      </c>
      <c r="C56" s="146"/>
      <c r="D56" s="146"/>
      <c r="E56" s="146"/>
      <c r="F56" s="146"/>
      <c r="G56" s="146"/>
      <c r="H56" s="146"/>
      <c r="I56" s="146"/>
      <c r="J56" s="146"/>
      <c r="K56" s="154"/>
      <c r="L56" s="159"/>
    </row>
    <row r="57" spans="1:12" ht="25.2" customHeight="1">
      <c r="A57" s="145">
        <v>54</v>
      </c>
      <c r="B57" s="146" t="s">
        <v>294</v>
      </c>
      <c r="C57" s="146"/>
      <c r="D57" s="146"/>
      <c r="E57" s="146"/>
      <c r="F57" s="146"/>
      <c r="G57" s="146"/>
      <c r="H57" s="146"/>
      <c r="I57" s="146"/>
      <c r="J57" s="146"/>
      <c r="K57" s="154"/>
      <c r="L57" s="159"/>
    </row>
    <row r="58" spans="1:12" ht="25.2" customHeight="1">
      <c r="A58" s="145">
        <v>55</v>
      </c>
      <c r="B58" s="146" t="s">
        <v>294</v>
      </c>
      <c r="C58" s="146"/>
      <c r="D58" s="146"/>
      <c r="E58" s="146"/>
      <c r="F58" s="146"/>
      <c r="G58" s="146"/>
      <c r="H58" s="146"/>
      <c r="I58" s="146"/>
      <c r="J58" s="146"/>
      <c r="K58" s="154"/>
      <c r="L58" s="159"/>
    </row>
    <row r="59" spans="1:12" ht="25.2" customHeight="1">
      <c r="A59" s="145">
        <v>56</v>
      </c>
      <c r="B59" s="146" t="s">
        <v>294</v>
      </c>
      <c r="C59" s="146"/>
      <c r="D59" s="146"/>
      <c r="E59" s="146"/>
      <c r="F59" s="146"/>
      <c r="G59" s="146"/>
      <c r="H59" s="146"/>
      <c r="I59" s="146"/>
      <c r="J59" s="146"/>
      <c r="K59" s="154"/>
      <c r="L59" s="159"/>
    </row>
    <row r="60" spans="1:12" ht="25.2" customHeight="1">
      <c r="A60" s="145">
        <v>57</v>
      </c>
      <c r="B60" s="146" t="s">
        <v>294</v>
      </c>
      <c r="C60" s="146"/>
      <c r="D60" s="146"/>
      <c r="E60" s="146"/>
      <c r="F60" s="146"/>
      <c r="G60" s="146"/>
      <c r="H60" s="146"/>
      <c r="I60" s="146"/>
      <c r="J60" s="146"/>
      <c r="K60" s="154"/>
      <c r="L60" s="159"/>
    </row>
    <row r="61" spans="1:12" ht="25.2" customHeight="1">
      <c r="A61" s="145">
        <v>58</v>
      </c>
      <c r="B61" s="146" t="s">
        <v>294</v>
      </c>
      <c r="C61" s="146"/>
      <c r="D61" s="146"/>
      <c r="E61" s="146"/>
      <c r="F61" s="146"/>
      <c r="G61" s="146"/>
      <c r="H61" s="146"/>
      <c r="I61" s="146"/>
      <c r="J61" s="146"/>
      <c r="K61" s="154"/>
      <c r="L61" s="159"/>
    </row>
    <row r="62" spans="1:12" ht="25.2" customHeight="1">
      <c r="A62" s="145">
        <v>59</v>
      </c>
      <c r="B62" s="146" t="s">
        <v>294</v>
      </c>
      <c r="C62" s="146"/>
      <c r="D62" s="146"/>
      <c r="E62" s="146"/>
      <c r="F62" s="146"/>
      <c r="G62" s="146"/>
      <c r="H62" s="146"/>
      <c r="I62" s="146"/>
      <c r="J62" s="146"/>
      <c r="K62" s="154"/>
      <c r="L62" s="159"/>
    </row>
    <row r="63" spans="1:12" ht="25.2" customHeight="1">
      <c r="A63" s="145">
        <v>60</v>
      </c>
      <c r="B63" s="146" t="s">
        <v>294</v>
      </c>
      <c r="C63" s="146"/>
      <c r="D63" s="146"/>
      <c r="E63" s="146"/>
      <c r="F63" s="146"/>
      <c r="G63" s="146"/>
      <c r="H63" s="146"/>
      <c r="I63" s="146"/>
      <c r="J63" s="146"/>
      <c r="K63" s="154"/>
      <c r="L63" s="159"/>
    </row>
    <row r="64" spans="1:12" ht="25.2" customHeight="1">
      <c r="A64" s="145">
        <v>61</v>
      </c>
      <c r="B64" s="146" t="s">
        <v>295</v>
      </c>
      <c r="C64" s="146"/>
      <c r="D64" s="146"/>
      <c r="E64" s="146"/>
      <c r="F64" s="146"/>
      <c r="G64" s="146"/>
      <c r="H64" s="146"/>
      <c r="I64" s="146"/>
      <c r="J64" s="146"/>
      <c r="K64" s="154"/>
      <c r="L64" s="159"/>
    </row>
    <row r="65" spans="1:12" ht="25.2" customHeight="1">
      <c r="A65" s="145">
        <v>62</v>
      </c>
      <c r="B65" s="146" t="s">
        <v>295</v>
      </c>
      <c r="C65" s="146"/>
      <c r="D65" s="146"/>
      <c r="E65" s="146"/>
      <c r="F65" s="146"/>
      <c r="G65" s="146"/>
      <c r="H65" s="146"/>
      <c r="I65" s="146"/>
      <c r="J65" s="156"/>
      <c r="K65" s="154"/>
      <c r="L65" s="159"/>
    </row>
    <row r="66" spans="1:12" ht="25.2" customHeight="1">
      <c r="A66" s="145">
        <v>63</v>
      </c>
      <c r="B66" s="146" t="s">
        <v>295</v>
      </c>
      <c r="C66" s="146"/>
      <c r="D66" s="146"/>
      <c r="E66" s="146"/>
      <c r="F66" s="146"/>
      <c r="G66" s="146"/>
      <c r="H66" s="146"/>
      <c r="I66" s="146"/>
      <c r="J66" s="156"/>
      <c r="K66" s="154"/>
      <c r="L66" s="159"/>
    </row>
    <row r="67" spans="1:12" ht="25.2" customHeight="1">
      <c r="A67" s="145">
        <v>64</v>
      </c>
      <c r="B67" s="146" t="s">
        <v>295</v>
      </c>
      <c r="C67" s="146"/>
      <c r="D67" s="146"/>
      <c r="E67" s="146"/>
      <c r="F67" s="146"/>
      <c r="G67" s="146"/>
      <c r="H67" s="146"/>
      <c r="I67" s="146"/>
      <c r="J67" s="156"/>
      <c r="K67" s="154"/>
      <c r="L67" s="159"/>
    </row>
    <row r="68" spans="1:12" ht="25.2" customHeight="1">
      <c r="A68" s="145">
        <v>65</v>
      </c>
      <c r="B68" s="146" t="s">
        <v>295</v>
      </c>
      <c r="C68" s="146"/>
      <c r="D68" s="146"/>
      <c r="E68" s="146"/>
      <c r="F68" s="146"/>
      <c r="G68" s="146"/>
      <c r="H68" s="146"/>
      <c r="I68" s="146"/>
      <c r="J68" s="156"/>
      <c r="K68" s="154"/>
      <c r="L68" s="159"/>
    </row>
    <row r="69" spans="1:12" ht="25.2" customHeight="1">
      <c r="A69" s="145">
        <v>66</v>
      </c>
      <c r="B69" s="146" t="s">
        <v>295</v>
      </c>
      <c r="C69" s="146"/>
      <c r="D69" s="146"/>
      <c r="E69" s="146"/>
      <c r="F69" s="146"/>
      <c r="G69" s="146"/>
      <c r="H69" s="146"/>
      <c r="I69" s="146"/>
      <c r="J69" s="156"/>
      <c r="K69" s="154"/>
      <c r="L69" s="159"/>
    </row>
    <row r="70" spans="1:12" ht="25.2" customHeight="1">
      <c r="A70" s="145">
        <v>67</v>
      </c>
      <c r="B70" s="146" t="s">
        <v>295</v>
      </c>
      <c r="C70" s="146"/>
      <c r="D70" s="146"/>
      <c r="E70" s="146"/>
      <c r="F70" s="146"/>
      <c r="G70" s="146"/>
      <c r="H70" s="146"/>
      <c r="I70" s="146"/>
      <c r="J70" s="156"/>
      <c r="K70" s="154"/>
      <c r="L70" s="159"/>
    </row>
    <row r="71" spans="1:12" ht="25.2" customHeight="1">
      <c r="A71" s="145">
        <v>68</v>
      </c>
      <c r="B71" s="146" t="s">
        <v>295</v>
      </c>
      <c r="C71" s="146"/>
      <c r="D71" s="146"/>
      <c r="E71" s="146"/>
      <c r="F71" s="146"/>
      <c r="G71" s="146"/>
      <c r="H71" s="146"/>
      <c r="I71" s="146"/>
      <c r="J71" s="156"/>
      <c r="K71" s="154"/>
      <c r="L71" s="159"/>
    </row>
    <row r="72" spans="1:12" ht="25.2" customHeight="1">
      <c r="A72" s="145">
        <v>69</v>
      </c>
      <c r="B72" s="146" t="s">
        <v>295</v>
      </c>
      <c r="C72" s="146"/>
      <c r="D72" s="146"/>
      <c r="E72" s="146"/>
      <c r="F72" s="146"/>
      <c r="G72" s="146"/>
      <c r="H72" s="146"/>
      <c r="I72" s="146"/>
      <c r="J72" s="156"/>
      <c r="K72" s="154"/>
      <c r="L72" s="159"/>
    </row>
    <row r="73" spans="1:12" ht="25.2" customHeight="1">
      <c r="A73" s="145">
        <v>70</v>
      </c>
      <c r="B73" s="146" t="s">
        <v>295</v>
      </c>
      <c r="C73" s="146"/>
      <c r="D73" s="146"/>
      <c r="E73" s="146"/>
      <c r="F73" s="146"/>
      <c r="G73" s="146"/>
      <c r="H73" s="146"/>
      <c r="I73" s="146"/>
      <c r="J73" s="156"/>
      <c r="K73" s="154"/>
      <c r="L73" s="159"/>
    </row>
    <row r="74" spans="1:12" ht="25.2" customHeight="1">
      <c r="A74" s="145">
        <v>71</v>
      </c>
      <c r="B74" s="146" t="s">
        <v>295</v>
      </c>
      <c r="C74" s="146"/>
      <c r="D74" s="146"/>
      <c r="E74" s="146"/>
      <c r="F74" s="146"/>
      <c r="G74" s="146"/>
      <c r="H74" s="146"/>
      <c r="I74" s="146"/>
      <c r="J74" s="156"/>
      <c r="K74" s="154"/>
      <c r="L74" s="159"/>
    </row>
    <row r="75" spans="1:12" ht="25.2" customHeight="1">
      <c r="A75" s="145">
        <v>72</v>
      </c>
      <c r="B75" s="146" t="s">
        <v>295</v>
      </c>
      <c r="C75" s="146"/>
      <c r="D75" s="146"/>
      <c r="E75" s="146"/>
      <c r="F75" s="146"/>
      <c r="G75" s="146"/>
      <c r="H75" s="146"/>
      <c r="I75" s="146"/>
      <c r="J75" s="156"/>
      <c r="K75" s="154"/>
      <c r="L75" s="159"/>
    </row>
    <row r="76" spans="1:12" ht="25.2" customHeight="1">
      <c r="A76" s="145">
        <v>73</v>
      </c>
      <c r="B76" s="146" t="s">
        <v>295</v>
      </c>
      <c r="C76" s="146"/>
      <c r="D76" s="149"/>
      <c r="E76" s="149"/>
      <c r="F76" s="149"/>
      <c r="G76" s="149"/>
      <c r="H76" s="149"/>
      <c r="I76" s="149"/>
      <c r="J76" s="157"/>
      <c r="K76" s="154"/>
      <c r="L76" s="159"/>
    </row>
    <row r="77" spans="1:12" ht="25.2" customHeight="1">
      <c r="A77" s="145">
        <v>74</v>
      </c>
      <c r="B77" s="146" t="s">
        <v>295</v>
      </c>
      <c r="C77" s="146"/>
      <c r="D77" s="149"/>
      <c r="E77" s="149"/>
      <c r="F77" s="149"/>
      <c r="G77" s="149"/>
      <c r="H77" s="149"/>
      <c r="I77" s="149"/>
      <c r="J77" s="157"/>
      <c r="K77" s="154"/>
      <c r="L77" s="159"/>
    </row>
    <row r="78" spans="1:12" ht="25.2" customHeight="1">
      <c r="A78" s="145">
        <v>75</v>
      </c>
      <c r="B78" s="146" t="s">
        <v>295</v>
      </c>
      <c r="C78" s="146"/>
      <c r="D78" s="146"/>
      <c r="E78" s="146"/>
      <c r="F78" s="146"/>
      <c r="G78" s="146"/>
      <c r="H78" s="146"/>
      <c r="I78" s="146"/>
      <c r="J78" s="156"/>
      <c r="K78" s="154"/>
      <c r="L78" s="159"/>
    </row>
    <row r="79" spans="1:12" ht="25.2" customHeight="1">
      <c r="A79" s="145">
        <v>76</v>
      </c>
      <c r="B79" s="146" t="s">
        <v>295</v>
      </c>
      <c r="C79" s="146"/>
      <c r="D79" s="149"/>
      <c r="E79" s="149"/>
      <c r="F79" s="149"/>
      <c r="G79" s="149"/>
      <c r="H79" s="149"/>
      <c r="I79" s="149"/>
      <c r="J79" s="157"/>
      <c r="K79" s="154"/>
      <c r="L79" s="159"/>
    </row>
    <row r="80" spans="1:12" ht="25.2" customHeight="1">
      <c r="A80" s="145">
        <v>77</v>
      </c>
      <c r="B80" s="146" t="s">
        <v>295</v>
      </c>
      <c r="C80" s="146"/>
      <c r="D80" s="149"/>
      <c r="E80" s="149"/>
      <c r="F80" s="149"/>
      <c r="G80" s="149"/>
      <c r="H80" s="149"/>
      <c r="I80" s="149"/>
      <c r="J80" s="157"/>
      <c r="K80" s="154"/>
      <c r="L80" s="159"/>
    </row>
    <row r="81" spans="1:12" ht="25.2" customHeight="1">
      <c r="A81" s="145">
        <v>78</v>
      </c>
      <c r="B81" s="146" t="s">
        <v>295</v>
      </c>
      <c r="C81" s="146"/>
      <c r="D81" s="146"/>
      <c r="E81" s="146"/>
      <c r="F81" s="146"/>
      <c r="G81" s="146"/>
      <c r="H81" s="146"/>
      <c r="I81" s="146"/>
      <c r="J81" s="156"/>
      <c r="K81" s="154"/>
      <c r="L81" s="159"/>
    </row>
    <row r="82" spans="1:12" ht="25.2" customHeight="1">
      <c r="A82" s="145">
        <v>79</v>
      </c>
      <c r="B82" s="146" t="s">
        <v>295</v>
      </c>
      <c r="C82" s="146"/>
      <c r="D82" s="146"/>
      <c r="E82" s="146"/>
      <c r="F82" s="146"/>
      <c r="G82" s="146"/>
      <c r="H82" s="146"/>
      <c r="I82" s="146"/>
      <c r="J82" s="156"/>
      <c r="K82" s="154"/>
      <c r="L82" s="159"/>
    </row>
    <row r="83" spans="1:12" ht="25.2" customHeight="1">
      <c r="A83" s="145">
        <v>80</v>
      </c>
      <c r="B83" s="146" t="s">
        <v>295</v>
      </c>
      <c r="C83" s="146"/>
      <c r="D83" s="146"/>
      <c r="E83" s="146"/>
      <c r="F83" s="146"/>
      <c r="G83" s="146"/>
      <c r="H83" s="146"/>
      <c r="I83" s="146"/>
      <c r="J83" s="156"/>
      <c r="K83" s="154"/>
      <c r="L83" s="159"/>
    </row>
    <row r="84" spans="1:12" ht="25.2" customHeight="1">
      <c r="A84" s="145">
        <v>81</v>
      </c>
      <c r="B84" s="146" t="s">
        <v>295</v>
      </c>
      <c r="C84" s="146"/>
      <c r="D84" s="146"/>
      <c r="E84" s="146"/>
      <c r="F84" s="146"/>
      <c r="G84" s="146"/>
      <c r="H84" s="146"/>
      <c r="I84" s="146"/>
      <c r="J84" s="156"/>
      <c r="K84" s="154"/>
      <c r="L84" s="159"/>
    </row>
    <row r="85" spans="1:12" ht="25.2" customHeight="1">
      <c r="A85" s="145">
        <v>82</v>
      </c>
      <c r="B85" s="146" t="s">
        <v>295</v>
      </c>
      <c r="C85" s="146"/>
      <c r="D85" s="149"/>
      <c r="E85" s="149"/>
      <c r="F85" s="149"/>
      <c r="G85" s="149"/>
      <c r="H85" s="149"/>
      <c r="I85" s="149"/>
      <c r="J85" s="157"/>
      <c r="K85" s="154"/>
      <c r="L85" s="159"/>
    </row>
    <row r="86" spans="1:12" ht="25.2" customHeight="1">
      <c r="A86" s="145">
        <v>83</v>
      </c>
      <c r="B86" s="146" t="s">
        <v>295</v>
      </c>
      <c r="C86" s="146"/>
      <c r="D86" s="149"/>
      <c r="E86" s="149"/>
      <c r="F86" s="149"/>
      <c r="G86" s="149"/>
      <c r="H86" s="149"/>
      <c r="I86" s="149"/>
      <c r="J86" s="157"/>
      <c r="K86" s="154"/>
      <c r="L86" s="159"/>
    </row>
    <row r="87" spans="1:12" ht="25.2" customHeight="1">
      <c r="A87" s="145">
        <v>84</v>
      </c>
      <c r="B87" s="146" t="s">
        <v>296</v>
      </c>
      <c r="C87" s="146"/>
      <c r="D87" s="147"/>
      <c r="E87" s="147"/>
      <c r="F87" s="147"/>
      <c r="G87" s="147"/>
      <c r="H87" s="147"/>
      <c r="I87" s="147"/>
      <c r="J87" s="147"/>
      <c r="K87" s="154"/>
      <c r="L87" s="159"/>
    </row>
    <row r="88" spans="1:12" ht="25.2" customHeight="1">
      <c r="A88" s="145">
        <v>85</v>
      </c>
      <c r="B88" s="146" t="s">
        <v>296</v>
      </c>
      <c r="C88" s="146"/>
      <c r="D88" s="147"/>
      <c r="E88" s="147"/>
      <c r="F88" s="147"/>
      <c r="G88" s="147"/>
      <c r="H88" s="147"/>
      <c r="I88" s="147"/>
      <c r="J88" s="147"/>
      <c r="K88" s="154"/>
      <c r="L88" s="159"/>
    </row>
    <row r="89" spans="1:12" ht="25.2" customHeight="1">
      <c r="A89" s="145">
        <v>86</v>
      </c>
      <c r="B89" s="146" t="s">
        <v>296</v>
      </c>
      <c r="C89" s="146"/>
      <c r="D89" s="147"/>
      <c r="E89" s="147"/>
      <c r="F89" s="147"/>
      <c r="G89" s="147"/>
      <c r="H89" s="147"/>
      <c r="I89" s="147"/>
      <c r="J89" s="147"/>
      <c r="K89" s="154"/>
      <c r="L89" s="159"/>
    </row>
    <row r="90" spans="1:12" ht="25.2" customHeight="1">
      <c r="A90" s="145">
        <v>87</v>
      </c>
      <c r="B90" s="146" t="s">
        <v>297</v>
      </c>
      <c r="C90" s="146"/>
      <c r="D90" s="150"/>
      <c r="E90" s="150"/>
      <c r="F90" s="150"/>
      <c r="G90" s="150"/>
      <c r="H90" s="150"/>
      <c r="I90" s="150"/>
      <c r="J90" s="150"/>
      <c r="K90" s="154"/>
      <c r="L90" s="159"/>
    </row>
    <row r="91" spans="1:12" s="141" customFormat="1" ht="25.2" customHeight="1">
      <c r="A91" s="145">
        <v>88</v>
      </c>
      <c r="B91" s="146" t="s">
        <v>292</v>
      </c>
      <c r="C91" s="146"/>
      <c r="D91" s="147"/>
      <c r="E91" s="147"/>
      <c r="F91" s="147"/>
      <c r="G91" s="147"/>
      <c r="H91" s="147"/>
      <c r="I91" s="147"/>
      <c r="J91" s="147"/>
      <c r="K91" s="154"/>
      <c r="L91" s="159"/>
    </row>
    <row r="92" spans="1:12" s="141" customFormat="1" ht="25.2" customHeight="1">
      <c r="A92" s="145">
        <v>89</v>
      </c>
      <c r="B92" s="146" t="s">
        <v>292</v>
      </c>
      <c r="C92" s="146"/>
      <c r="D92" s="147"/>
      <c r="E92" s="147"/>
      <c r="F92" s="147"/>
      <c r="G92" s="147"/>
      <c r="H92" s="147"/>
      <c r="I92" s="147"/>
      <c r="J92" s="147"/>
      <c r="K92" s="154"/>
      <c r="L92" s="159"/>
    </row>
    <row r="93" spans="1:12" s="141" customFormat="1" ht="25.2" customHeight="1">
      <c r="A93" s="145">
        <v>90</v>
      </c>
      <c r="B93" s="146" t="s">
        <v>292</v>
      </c>
      <c r="C93" s="146"/>
      <c r="D93" s="147"/>
      <c r="E93" s="147"/>
      <c r="F93" s="147"/>
      <c r="G93" s="147"/>
      <c r="H93" s="147"/>
      <c r="I93" s="147"/>
      <c r="J93" s="147"/>
      <c r="K93" s="154"/>
      <c r="L93" s="159"/>
    </row>
    <row r="94" spans="1:12" s="141" customFormat="1" ht="25.2" customHeight="1">
      <c r="A94" s="145">
        <v>91</v>
      </c>
      <c r="B94" s="146" t="s">
        <v>292</v>
      </c>
      <c r="C94" s="146"/>
      <c r="D94" s="147"/>
      <c r="E94" s="147"/>
      <c r="F94" s="147"/>
      <c r="G94" s="147"/>
      <c r="H94" s="147"/>
      <c r="I94" s="147"/>
      <c r="J94" s="147"/>
      <c r="K94" s="154"/>
      <c r="L94" s="159"/>
    </row>
    <row r="95" spans="1:12" s="141" customFormat="1" ht="25.2" customHeight="1">
      <c r="A95" s="145">
        <v>92</v>
      </c>
      <c r="B95" s="146" t="s">
        <v>292</v>
      </c>
      <c r="C95" s="146"/>
      <c r="D95" s="147"/>
      <c r="E95" s="147"/>
      <c r="F95" s="147"/>
      <c r="G95" s="147"/>
      <c r="H95" s="147"/>
      <c r="I95" s="147"/>
      <c r="J95" s="147"/>
      <c r="K95" s="154"/>
      <c r="L95" s="159"/>
    </row>
    <row r="96" spans="1:12" s="141" customFormat="1" ht="25.2" customHeight="1">
      <c r="A96" s="145">
        <v>93</v>
      </c>
      <c r="B96" s="146" t="s">
        <v>292</v>
      </c>
      <c r="C96" s="146"/>
      <c r="D96" s="147"/>
      <c r="E96" s="147"/>
      <c r="F96" s="147"/>
      <c r="G96" s="147"/>
      <c r="H96" s="147"/>
      <c r="I96" s="147"/>
      <c r="J96" s="147"/>
      <c r="K96" s="154"/>
      <c r="L96" s="159"/>
    </row>
    <row r="97" spans="1:12" s="141" customFormat="1" ht="25.2" customHeight="1">
      <c r="A97" s="145">
        <v>94</v>
      </c>
      <c r="B97" s="146" t="s">
        <v>292</v>
      </c>
      <c r="C97" s="146"/>
      <c r="D97" s="147"/>
      <c r="E97" s="147"/>
      <c r="F97" s="147"/>
      <c r="G97" s="147"/>
      <c r="H97" s="147"/>
      <c r="I97" s="147"/>
      <c r="J97" s="147"/>
      <c r="K97" s="154"/>
      <c r="L97" s="159"/>
    </row>
    <row r="98" spans="1:12" s="141" customFormat="1" ht="25.2" customHeight="1">
      <c r="A98" s="145">
        <v>95</v>
      </c>
      <c r="B98" s="146" t="s">
        <v>292</v>
      </c>
      <c r="C98" s="146"/>
      <c r="D98" s="147"/>
      <c r="E98" s="147"/>
      <c r="F98" s="147"/>
      <c r="G98" s="147"/>
      <c r="H98" s="147"/>
      <c r="I98" s="147"/>
      <c r="J98" s="147"/>
      <c r="K98" s="154"/>
      <c r="L98" s="159"/>
    </row>
    <row r="99" spans="1:12" s="141" customFormat="1" ht="25.2" customHeight="1">
      <c r="A99" s="145">
        <v>96</v>
      </c>
      <c r="B99" s="146" t="s">
        <v>292</v>
      </c>
      <c r="C99" s="146"/>
      <c r="D99" s="147"/>
      <c r="E99" s="147"/>
      <c r="F99" s="147"/>
      <c r="G99" s="147"/>
      <c r="H99" s="147"/>
      <c r="I99" s="147"/>
      <c r="J99" s="147"/>
      <c r="K99" s="154"/>
      <c r="L99" s="159"/>
    </row>
    <row r="100" spans="1:12" s="141" customFormat="1" ht="25.2" customHeight="1">
      <c r="A100" s="145">
        <v>97</v>
      </c>
      <c r="B100" s="146" t="s">
        <v>292</v>
      </c>
      <c r="C100" s="146"/>
      <c r="D100" s="147"/>
      <c r="E100" s="147"/>
      <c r="F100" s="147"/>
      <c r="G100" s="147"/>
      <c r="H100" s="147"/>
      <c r="I100" s="147"/>
      <c r="J100" s="147"/>
      <c r="K100" s="154"/>
      <c r="L100" s="159"/>
    </row>
    <row r="101" spans="1:12" s="141" customFormat="1" ht="25.2" customHeight="1">
      <c r="A101" s="145">
        <v>98</v>
      </c>
      <c r="B101" s="146" t="s">
        <v>292</v>
      </c>
      <c r="C101" s="146"/>
      <c r="D101" s="147"/>
      <c r="E101" s="147"/>
      <c r="F101" s="147"/>
      <c r="G101" s="147"/>
      <c r="H101" s="147"/>
      <c r="I101" s="147"/>
      <c r="J101" s="147"/>
      <c r="K101" s="154"/>
      <c r="L101" s="159"/>
    </row>
    <row r="102" spans="1:12" s="141" customFormat="1" ht="25.2" customHeight="1">
      <c r="A102" s="145">
        <v>99</v>
      </c>
      <c r="B102" s="146" t="s">
        <v>292</v>
      </c>
      <c r="C102" s="146"/>
      <c r="D102" s="147"/>
      <c r="E102" s="147"/>
      <c r="F102" s="147"/>
      <c r="G102" s="147"/>
      <c r="H102" s="147"/>
      <c r="I102" s="147"/>
      <c r="J102" s="147"/>
      <c r="K102" s="154"/>
      <c r="L102" s="159"/>
    </row>
    <row r="103" spans="1:12" s="141" customFormat="1" ht="25.2" customHeight="1" thickBot="1">
      <c r="A103" s="151">
        <v>100</v>
      </c>
      <c r="B103" s="152" t="s">
        <v>292</v>
      </c>
      <c r="C103" s="152"/>
      <c r="D103" s="153"/>
      <c r="E103" s="153"/>
      <c r="F103" s="153"/>
      <c r="G103" s="153"/>
      <c r="H103" s="153"/>
      <c r="I103" s="153"/>
      <c r="J103" s="153"/>
      <c r="K103" s="158"/>
      <c r="L103" s="160"/>
    </row>
    <row r="104" spans="1:12" s="141" customFormat="1" ht="19.95" customHeight="1"/>
    <row r="105" spans="1:12" s="141" customFormat="1" ht="19.95" customHeight="1"/>
    <row r="106" spans="1:12" s="141" customFormat="1" ht="19.95" customHeight="1"/>
    <row r="107" spans="1:12" s="141" customFormat="1" ht="19.95" customHeight="1"/>
    <row r="108" spans="1:12" s="141" customFormat="1" ht="19.95" customHeight="1"/>
    <row r="109" spans="1:12" s="141" customFormat="1" ht="19.95" customHeight="1"/>
    <row r="110" spans="1:12" s="141" customFormat="1" ht="19.95" customHeight="1"/>
    <row r="111" spans="1:12" s="141" customFormat="1" ht="19.95" customHeight="1"/>
    <row r="112" spans="1:12" s="141" customFormat="1" ht="19.95" customHeight="1"/>
    <row r="113" s="141" customFormat="1" ht="19.95" customHeight="1"/>
    <row r="114" s="141" customFormat="1" ht="19.95" customHeight="1"/>
    <row r="115" s="141" customFormat="1" ht="19.95" customHeight="1"/>
    <row r="116" s="141" customFormat="1" ht="19.95" customHeight="1"/>
    <row r="117" s="141" customFormat="1" ht="19.95" customHeight="1"/>
    <row r="118" s="141" customFormat="1" ht="19.95" customHeight="1"/>
    <row r="119" s="141" customFormat="1" ht="19.95" customHeight="1"/>
    <row r="120" s="141" customFormat="1" ht="19.95" customHeight="1"/>
    <row r="121" s="141" customFormat="1" ht="19.95" customHeight="1"/>
    <row r="122" s="141" customFormat="1" ht="19.95" customHeight="1"/>
    <row r="123" s="141" customFormat="1" ht="19.95" customHeight="1"/>
    <row r="124" s="141" customFormat="1" ht="19.95" customHeight="1"/>
    <row r="125" s="141" customFormat="1" ht="19.95" customHeight="1"/>
    <row r="126" s="141" customFormat="1" ht="19.95" customHeight="1"/>
    <row r="127" s="141" customFormat="1" ht="19.95" customHeight="1"/>
    <row r="128" s="141" customFormat="1" ht="19.95" customHeight="1"/>
    <row r="129" s="141" customFormat="1" ht="19.95" customHeight="1"/>
    <row r="130" s="141" customFormat="1" ht="19.95" customHeight="1"/>
    <row r="131" s="141" customFormat="1" ht="19.95" customHeight="1"/>
    <row r="132" s="141" customFormat="1" ht="19.95" customHeight="1"/>
    <row r="133" s="141" customFormat="1" ht="19.95" customHeight="1"/>
    <row r="134" s="141" customFormat="1" ht="19.95" customHeight="1"/>
    <row r="135" s="141" customFormat="1" ht="19.95" customHeight="1"/>
    <row r="136" s="141" customFormat="1" ht="19.95" customHeight="1"/>
    <row r="137" s="141" customFormat="1" ht="19.95" customHeight="1"/>
    <row r="138" s="141" customFormat="1" ht="19.95" customHeight="1"/>
    <row r="139" s="141" customFormat="1" ht="19.95" customHeight="1"/>
    <row r="140" s="141" customFormat="1" ht="19.95" customHeight="1"/>
    <row r="141" s="141" customFormat="1" ht="19.95" customHeight="1"/>
    <row r="142" s="141" customFormat="1" ht="19.95" customHeight="1"/>
    <row r="143" s="141" customFormat="1" ht="19.95" customHeight="1"/>
    <row r="144" s="141" customFormat="1" ht="19.95" customHeight="1"/>
    <row r="145" s="141" customFormat="1" ht="19.95" customHeight="1"/>
    <row r="146" s="141" customFormat="1" ht="19.95" customHeight="1"/>
    <row r="147" s="141" customFormat="1" ht="19.95" customHeight="1"/>
    <row r="148" s="141" customFormat="1" ht="19.95" customHeight="1"/>
    <row r="149" s="141" customFormat="1" ht="19.95" customHeight="1"/>
    <row r="150" s="141" customFormat="1" ht="19.95" customHeight="1"/>
  </sheetData>
  <mergeCells count="1">
    <mergeCell ref="A2:L2"/>
  </mergeCells>
  <phoneticPr fontId="6" type="noConversion"/>
  <pageMargins left="0.25" right="0.25" top="0.75" bottom="0.75" header="0.3" footer="0.3"/>
  <pageSetup paperSize="9" scale="55"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AF91"/>
  <sheetViews>
    <sheetView showGridLines="0" tabSelected="1" view="pageBreakPreview" zoomScale="85" zoomScaleNormal="85" zoomScaleSheetLayoutView="85" workbookViewId="0">
      <selection activeCell="AG20" sqref="AG20"/>
    </sheetView>
  </sheetViews>
  <sheetFormatPr defaultColWidth="5.796875" defaultRowHeight="16.5" customHeight="1"/>
  <cols>
    <col min="1" max="1" width="5" style="161" customWidth="1"/>
    <col min="2" max="8" width="5.296875" style="161" customWidth="1"/>
    <col min="9" max="9" width="7.296875" style="161" customWidth="1"/>
    <col min="10" max="13" width="5" style="161" customWidth="1"/>
    <col min="14" max="14" width="7.3984375" style="161" customWidth="1"/>
    <col min="15" max="16" width="5" style="161" customWidth="1"/>
    <col min="17" max="17" width="7.3984375" style="161" customWidth="1"/>
    <col min="18" max="25" width="5" style="161" customWidth="1"/>
    <col min="26" max="26" width="7.09765625" style="161" bestFit="1" customWidth="1"/>
    <col min="27" max="28" width="5.796875" style="161"/>
    <col min="29" max="29" width="9.3984375" style="161" customWidth="1"/>
    <col min="30" max="16384" width="5.796875" style="161"/>
  </cols>
  <sheetData>
    <row r="1" spans="1:32" ht="39.6" customHeight="1">
      <c r="A1" s="426"/>
      <c r="B1" s="426"/>
      <c r="C1" s="426"/>
      <c r="D1" s="426"/>
      <c r="E1" s="426"/>
      <c r="F1" s="426"/>
      <c r="G1" s="426"/>
      <c r="H1" s="426"/>
      <c r="I1" s="426"/>
      <c r="J1" s="426"/>
      <c r="K1" s="426"/>
      <c r="L1" s="426"/>
      <c r="M1" s="426"/>
      <c r="N1" s="426"/>
      <c r="O1" s="426"/>
      <c r="P1" s="426"/>
      <c r="Q1" s="426"/>
      <c r="R1" s="426"/>
      <c r="S1" s="426"/>
      <c r="T1" s="426"/>
      <c r="U1" s="426"/>
      <c r="V1" s="426"/>
      <c r="W1" s="426"/>
      <c r="X1" s="426"/>
    </row>
    <row r="2" spans="1:32" ht="30.75" customHeight="1">
      <c r="A2" s="292" t="s">
        <v>306</v>
      </c>
      <c r="B2" s="292"/>
      <c r="C2" s="292"/>
      <c r="D2" s="292"/>
      <c r="E2" s="292"/>
      <c r="F2" s="292"/>
      <c r="G2" s="292"/>
      <c r="H2" s="292"/>
      <c r="I2" s="292"/>
      <c r="J2" s="292"/>
      <c r="K2" s="292"/>
      <c r="L2" s="292"/>
      <c r="M2" s="292"/>
      <c r="N2" s="292"/>
      <c r="O2" s="292"/>
      <c r="P2" s="292"/>
      <c r="Q2" s="292"/>
      <c r="R2" s="292"/>
      <c r="S2" s="292"/>
      <c r="T2" s="292"/>
      <c r="U2" s="292"/>
      <c r="V2" s="292"/>
      <c r="W2" s="292"/>
      <c r="X2" s="292"/>
      <c r="Y2" s="162"/>
      <c r="Z2" s="162"/>
      <c r="AA2" s="162"/>
      <c r="AB2" s="162"/>
    </row>
    <row r="3" spans="1:32" ht="10.95" customHeight="1">
      <c r="A3" s="189"/>
      <c r="B3" s="189"/>
      <c r="C3" s="189"/>
      <c r="D3" s="189"/>
      <c r="E3" s="189"/>
      <c r="F3" s="189"/>
      <c r="G3" s="189"/>
      <c r="H3" s="189"/>
      <c r="I3" s="189"/>
      <c r="J3" s="189"/>
      <c r="K3" s="189"/>
      <c r="L3" s="189"/>
      <c r="M3" s="189"/>
      <c r="N3" s="189"/>
      <c r="O3" s="189"/>
      <c r="P3" s="189"/>
      <c r="Q3" s="189"/>
      <c r="R3" s="189"/>
      <c r="S3" s="189"/>
      <c r="T3" s="189"/>
      <c r="U3" s="189"/>
      <c r="V3" s="189"/>
      <c r="W3" s="189"/>
      <c r="X3" s="189"/>
      <c r="Y3" s="162"/>
      <c r="Z3" s="162"/>
      <c r="AA3" s="162"/>
      <c r="AB3" s="162"/>
    </row>
    <row r="4" spans="1:32" ht="16.5" customHeight="1">
      <c r="A4" s="163" t="s">
        <v>310</v>
      </c>
      <c r="R4" s="293" t="s">
        <v>263</v>
      </c>
      <c r="S4" s="294"/>
      <c r="T4" s="295"/>
      <c r="U4" s="296" t="s">
        <v>299</v>
      </c>
      <c r="V4" s="297"/>
      <c r="W4" s="297"/>
      <c r="X4" s="298"/>
      <c r="Y4" s="162"/>
    </row>
    <row r="5" spans="1:32" ht="5.25" customHeight="1">
      <c r="Y5" s="162"/>
    </row>
    <row r="6" spans="1:32" ht="15.6" customHeight="1">
      <c r="A6" s="163" t="s">
        <v>186</v>
      </c>
      <c r="Y6" s="162"/>
      <c r="Z6" s="162"/>
      <c r="AA6" s="162"/>
      <c r="AB6" s="162"/>
    </row>
    <row r="7" spans="1:32" ht="5.0999999999999996" customHeight="1">
      <c r="A7" s="337"/>
      <c r="B7" s="338"/>
      <c r="C7" s="338"/>
      <c r="D7" s="338"/>
      <c r="E7" s="338"/>
      <c r="F7" s="338"/>
      <c r="G7" s="338"/>
      <c r="H7" s="338"/>
      <c r="I7" s="338"/>
      <c r="J7" s="338"/>
      <c r="K7" s="338"/>
      <c r="L7" s="338"/>
      <c r="M7" s="338"/>
      <c r="N7" s="338"/>
      <c r="O7" s="338"/>
      <c r="P7" s="338"/>
      <c r="Q7" s="338"/>
      <c r="R7" s="338"/>
      <c r="S7" s="338"/>
      <c r="T7" s="338"/>
      <c r="U7" s="338"/>
      <c r="V7" s="338"/>
      <c r="W7" s="338"/>
      <c r="X7" s="339"/>
      <c r="Y7" s="162"/>
      <c r="Z7" s="164"/>
      <c r="AA7" s="164"/>
      <c r="AB7" s="164"/>
    </row>
    <row r="8" spans="1:32" ht="25.2" customHeight="1">
      <c r="A8" s="316" t="s">
        <v>281</v>
      </c>
      <c r="B8" s="300"/>
      <c r="C8" s="300"/>
      <c r="D8" s="300"/>
      <c r="E8" s="317" t="s">
        <v>308</v>
      </c>
      <c r="F8" s="317"/>
      <c r="G8" s="317"/>
      <c r="H8" s="317"/>
      <c r="I8" s="300" t="s">
        <v>333</v>
      </c>
      <c r="J8" s="300"/>
      <c r="K8" s="300"/>
      <c r="L8" s="300"/>
      <c r="M8" s="317" t="s">
        <v>307</v>
      </c>
      <c r="N8" s="317"/>
      <c r="O8" s="317"/>
      <c r="P8" s="317"/>
      <c r="Q8" s="300" t="s">
        <v>187</v>
      </c>
      <c r="R8" s="300"/>
      <c r="S8" s="300"/>
      <c r="T8" s="300"/>
      <c r="U8" s="317"/>
      <c r="V8" s="317"/>
      <c r="W8" s="317"/>
      <c r="X8" s="318"/>
      <c r="Y8" s="162"/>
      <c r="Z8" s="164"/>
      <c r="AA8" s="164"/>
      <c r="AB8" s="164"/>
    </row>
    <row r="9" spans="1:32" ht="25.2" customHeight="1">
      <c r="A9" s="311" t="s">
        <v>188</v>
      </c>
      <c r="B9" s="312"/>
      <c r="C9" s="312"/>
      <c r="D9" s="312"/>
      <c r="E9" s="313" t="s">
        <v>309</v>
      </c>
      <c r="F9" s="313"/>
      <c r="G9" s="313"/>
      <c r="H9" s="313"/>
      <c r="I9" s="312" t="s">
        <v>300</v>
      </c>
      <c r="J9" s="312"/>
      <c r="K9" s="312"/>
      <c r="L9" s="312"/>
      <c r="M9" s="313"/>
      <c r="N9" s="313"/>
      <c r="O9" s="313"/>
      <c r="P9" s="313"/>
      <c r="Q9" s="312" t="s">
        <v>334</v>
      </c>
      <c r="R9" s="312"/>
      <c r="S9" s="312"/>
      <c r="T9" s="312"/>
      <c r="U9" s="314"/>
      <c r="V9" s="313"/>
      <c r="W9" s="313"/>
      <c r="X9" s="315"/>
      <c r="Y9" s="162"/>
      <c r="Z9" s="164"/>
      <c r="AA9" s="164"/>
      <c r="AB9" s="164"/>
    </row>
    <row r="10" spans="1:32" ht="25.2" customHeight="1">
      <c r="A10" s="349" t="s">
        <v>189</v>
      </c>
      <c r="B10" s="350"/>
      <c r="C10" s="350"/>
      <c r="D10" s="350"/>
      <c r="E10" s="304"/>
      <c r="F10" s="304"/>
      <c r="G10" s="304"/>
      <c r="H10" s="304"/>
      <c r="I10" s="305" t="s">
        <v>331</v>
      </c>
      <c r="J10" s="306"/>
      <c r="K10" s="306"/>
      <c r="L10" s="307"/>
      <c r="M10" s="308"/>
      <c r="N10" s="309"/>
      <c r="O10" s="309"/>
      <c r="P10" s="310"/>
      <c r="Q10" s="350" t="s">
        <v>190</v>
      </c>
      <c r="R10" s="350"/>
      <c r="S10" s="350"/>
      <c r="T10" s="350"/>
      <c r="U10" s="304"/>
      <c r="V10" s="304"/>
      <c r="W10" s="304"/>
      <c r="X10" s="351"/>
      <c r="Y10" s="162"/>
      <c r="Z10" s="164"/>
      <c r="AA10" s="164"/>
      <c r="AB10" s="164"/>
    </row>
    <row r="11" spans="1:32" ht="7.95" customHeight="1">
      <c r="Y11" s="162"/>
      <c r="Z11" s="353"/>
      <c r="AA11" s="353"/>
      <c r="AB11" s="353"/>
    </row>
    <row r="12" spans="1:32" ht="16.5" customHeight="1">
      <c r="A12" s="163" t="s">
        <v>280</v>
      </c>
      <c r="Y12" s="162"/>
      <c r="Z12" s="164"/>
      <c r="AA12" s="164"/>
      <c r="AB12" s="164"/>
    </row>
    <row r="13" spans="1:32" ht="5.0999999999999996" customHeight="1">
      <c r="A13" s="337"/>
      <c r="B13" s="338"/>
      <c r="C13" s="338"/>
      <c r="D13" s="338"/>
      <c r="E13" s="338"/>
      <c r="F13" s="338"/>
      <c r="G13" s="338"/>
      <c r="H13" s="338"/>
      <c r="I13" s="338"/>
      <c r="J13" s="338"/>
      <c r="K13" s="338"/>
      <c r="L13" s="338"/>
      <c r="M13" s="338"/>
      <c r="N13" s="338"/>
      <c r="O13" s="338"/>
      <c r="P13" s="338"/>
      <c r="Q13" s="338"/>
      <c r="R13" s="338"/>
      <c r="S13" s="338"/>
      <c r="T13" s="338"/>
      <c r="U13" s="338"/>
      <c r="V13" s="338"/>
      <c r="W13" s="338"/>
      <c r="X13" s="339"/>
      <c r="Y13" s="162"/>
      <c r="Z13" s="164"/>
      <c r="AA13" s="164"/>
      <c r="AB13" s="164"/>
    </row>
    <row r="14" spans="1:32" ht="25.2" customHeight="1">
      <c r="A14" s="316" t="s">
        <v>191</v>
      </c>
      <c r="B14" s="300"/>
      <c r="C14" s="300"/>
      <c r="D14" s="300"/>
      <c r="E14" s="301"/>
      <c r="F14" s="302"/>
      <c r="G14" s="302"/>
      <c r="H14" s="302"/>
      <c r="I14" s="302"/>
      <c r="J14" s="302"/>
      <c r="K14" s="302"/>
      <c r="L14" s="352"/>
      <c r="M14" s="299" t="s">
        <v>192</v>
      </c>
      <c r="N14" s="300"/>
      <c r="O14" s="300"/>
      <c r="P14" s="300"/>
      <c r="Q14" s="301"/>
      <c r="R14" s="302"/>
      <c r="S14" s="302"/>
      <c r="T14" s="302"/>
      <c r="U14" s="302"/>
      <c r="V14" s="302"/>
      <c r="W14" s="302"/>
      <c r="X14" s="303"/>
      <c r="Y14" s="162"/>
      <c r="Z14" s="328" t="s">
        <v>81</v>
      </c>
      <c r="AA14" s="329"/>
      <c r="AB14" s="330"/>
      <c r="AC14" s="493"/>
      <c r="AD14" s="494"/>
      <c r="AE14" s="494"/>
      <c r="AF14" s="494"/>
    </row>
    <row r="15" spans="1:32" ht="25.2" customHeight="1">
      <c r="A15" s="340" t="s">
        <v>193</v>
      </c>
      <c r="B15" s="341"/>
      <c r="C15" s="341"/>
      <c r="D15" s="342"/>
      <c r="E15" s="343"/>
      <c r="F15" s="344"/>
      <c r="G15" s="344"/>
      <c r="H15" s="344"/>
      <c r="I15" s="344"/>
      <c r="J15" s="344"/>
      <c r="K15" s="344"/>
      <c r="L15" s="344"/>
      <c r="M15" s="345" t="s">
        <v>194</v>
      </c>
      <c r="N15" s="341"/>
      <c r="O15" s="341"/>
      <c r="P15" s="342"/>
      <c r="Q15" s="343"/>
      <c r="R15" s="344"/>
      <c r="S15" s="344"/>
      <c r="T15" s="344"/>
      <c r="U15" s="344"/>
      <c r="V15" s="344"/>
      <c r="W15" s="344"/>
      <c r="X15" s="346"/>
      <c r="Y15" s="162"/>
      <c r="Z15" s="331">
        <f>SUM(AB20:AB76)</f>
        <v>100</v>
      </c>
      <c r="AA15" s="332"/>
      <c r="AB15" s="333"/>
      <c r="AC15" s="495" t="s">
        <v>327</v>
      </c>
      <c r="AD15" s="494"/>
      <c r="AE15" s="494"/>
      <c r="AF15" s="494"/>
    </row>
    <row r="16" spans="1:32" ht="6" customHeight="1" thickBot="1">
      <c r="Y16" s="162"/>
      <c r="Z16" s="164"/>
      <c r="AA16" s="164"/>
      <c r="AB16" s="164"/>
    </row>
    <row r="17" spans="1:29" ht="16.5" customHeight="1" thickBot="1">
      <c r="A17" s="446" t="s">
        <v>314</v>
      </c>
      <c r="B17" s="447"/>
      <c r="C17" s="447"/>
      <c r="D17" s="165"/>
      <c r="E17" s="165"/>
      <c r="F17" s="165"/>
      <c r="G17" s="165"/>
      <c r="H17" s="165"/>
      <c r="I17" s="165"/>
      <c r="J17" s="165"/>
      <c r="K17" s="165"/>
      <c r="L17" s="165"/>
      <c r="M17" s="165"/>
      <c r="N17" s="165"/>
      <c r="O17" s="165"/>
      <c r="P17" s="165"/>
      <c r="Q17" s="165"/>
      <c r="R17" s="165"/>
      <c r="S17" s="165"/>
      <c r="T17" s="165"/>
      <c r="U17" s="165"/>
      <c r="V17" s="165"/>
      <c r="W17" s="165"/>
      <c r="X17" s="166"/>
      <c r="Y17" s="162"/>
      <c r="Z17" s="164"/>
      <c r="AA17" s="164"/>
      <c r="AB17" s="164"/>
    </row>
    <row r="18" spans="1:29" ht="5.0999999999999996" customHeight="1">
      <c r="A18" s="383"/>
      <c r="B18" s="384"/>
      <c r="C18" s="384"/>
      <c r="D18" s="384"/>
      <c r="E18" s="384"/>
      <c r="F18" s="384"/>
      <c r="G18" s="384"/>
      <c r="H18" s="384"/>
      <c r="I18" s="384"/>
      <c r="J18" s="384"/>
      <c r="K18" s="384"/>
      <c r="L18" s="384"/>
      <c r="M18" s="384"/>
      <c r="N18" s="384"/>
      <c r="O18" s="384"/>
      <c r="P18" s="384"/>
      <c r="Q18" s="384"/>
      <c r="R18" s="384"/>
      <c r="S18" s="384"/>
      <c r="T18" s="384"/>
      <c r="U18" s="384"/>
      <c r="V18" s="384"/>
      <c r="W18" s="384"/>
      <c r="X18" s="385"/>
      <c r="Y18" s="167"/>
      <c r="Z18" s="164"/>
      <c r="AA18" s="164"/>
      <c r="AB18" s="164"/>
      <c r="AC18" s="168"/>
    </row>
    <row r="19" spans="1:29" ht="16.5" customHeight="1">
      <c r="A19" s="169" t="s">
        <v>195</v>
      </c>
      <c r="B19" s="347" t="s">
        <v>196</v>
      </c>
      <c r="C19" s="347"/>
      <c r="D19" s="347"/>
      <c r="E19" s="347"/>
      <c r="F19" s="347"/>
      <c r="G19" s="347"/>
      <c r="H19" s="347"/>
      <c r="I19" s="347"/>
      <c r="J19" s="347" t="s">
        <v>197</v>
      </c>
      <c r="K19" s="347"/>
      <c r="L19" s="347"/>
      <c r="M19" s="347"/>
      <c r="N19" s="347"/>
      <c r="O19" s="170" t="s">
        <v>198</v>
      </c>
      <c r="P19" s="347" t="s">
        <v>270</v>
      </c>
      <c r="Q19" s="347"/>
      <c r="R19" s="347"/>
      <c r="S19" s="347"/>
      <c r="T19" s="347"/>
      <c r="U19" s="317" t="s">
        <v>271</v>
      </c>
      <c r="V19" s="317"/>
      <c r="W19" s="317"/>
      <c r="X19" s="348"/>
      <c r="Y19" s="167"/>
      <c r="Z19" s="167"/>
      <c r="AA19" s="167" t="s">
        <v>274</v>
      </c>
      <c r="AB19" s="167"/>
      <c r="AC19" s="168"/>
    </row>
    <row r="20" spans="1:29" ht="16.5" customHeight="1">
      <c r="A20" s="354">
        <v>1</v>
      </c>
      <c r="B20" s="319" t="s">
        <v>316</v>
      </c>
      <c r="C20" s="320"/>
      <c r="D20" s="320"/>
      <c r="E20" s="320"/>
      <c r="F20" s="320"/>
      <c r="G20" s="320"/>
      <c r="H20" s="320"/>
      <c r="I20" s="321"/>
      <c r="J20" s="290" t="s">
        <v>202</v>
      </c>
      <c r="K20" s="290"/>
      <c r="L20" s="290"/>
      <c r="M20" s="290"/>
      <c r="N20" s="290"/>
      <c r="O20" s="172" t="s">
        <v>262</v>
      </c>
      <c r="P20" s="373"/>
      <c r="Q20" s="374"/>
      <c r="R20" s="374"/>
      <c r="S20" s="374"/>
      <c r="T20" s="375"/>
      <c r="U20" s="440" t="s">
        <v>311</v>
      </c>
      <c r="V20" s="441"/>
      <c r="W20" s="441"/>
      <c r="X20" s="442"/>
      <c r="Y20" s="167"/>
      <c r="Z20" s="173">
        <f t="shared" ref="Z20:Z21" si="0">COUNTIF(O20,"O")</f>
        <v>1</v>
      </c>
      <c r="AA20" s="173">
        <v>4</v>
      </c>
      <c r="AB20" s="173">
        <f t="shared" ref="AB20:AB21" si="1">Z20*AA20</f>
        <v>4</v>
      </c>
      <c r="AC20" s="168"/>
    </row>
    <row r="21" spans="1:29" ht="16.5" customHeight="1">
      <c r="A21" s="355"/>
      <c r="B21" s="325"/>
      <c r="C21" s="326"/>
      <c r="D21" s="326"/>
      <c r="E21" s="326"/>
      <c r="F21" s="326"/>
      <c r="G21" s="326"/>
      <c r="H21" s="326"/>
      <c r="I21" s="327"/>
      <c r="J21" s="290" t="s">
        <v>203</v>
      </c>
      <c r="K21" s="290"/>
      <c r="L21" s="290"/>
      <c r="M21" s="290"/>
      <c r="N21" s="290"/>
      <c r="O21" s="172"/>
      <c r="P21" s="379"/>
      <c r="Q21" s="380"/>
      <c r="R21" s="380"/>
      <c r="S21" s="380"/>
      <c r="T21" s="381"/>
      <c r="U21" s="443"/>
      <c r="V21" s="444"/>
      <c r="W21" s="444"/>
      <c r="X21" s="445"/>
      <c r="Y21" s="167"/>
      <c r="Z21" s="173">
        <f t="shared" si="0"/>
        <v>0</v>
      </c>
      <c r="AA21" s="173">
        <v>0</v>
      </c>
      <c r="AB21" s="173">
        <f t="shared" si="1"/>
        <v>0</v>
      </c>
      <c r="AC21" s="168"/>
    </row>
    <row r="22" spans="1:29" ht="16.5" customHeight="1">
      <c r="A22" s="354">
        <v>2</v>
      </c>
      <c r="B22" s="319" t="s">
        <v>312</v>
      </c>
      <c r="C22" s="320"/>
      <c r="D22" s="320"/>
      <c r="E22" s="320"/>
      <c r="F22" s="320"/>
      <c r="G22" s="320"/>
      <c r="H22" s="320"/>
      <c r="I22" s="321"/>
      <c r="J22" s="290" t="s">
        <v>202</v>
      </c>
      <c r="K22" s="290"/>
      <c r="L22" s="290"/>
      <c r="M22" s="290"/>
      <c r="N22" s="290"/>
      <c r="O22" s="172" t="s">
        <v>262</v>
      </c>
      <c r="P22" s="373"/>
      <c r="Q22" s="374"/>
      <c r="R22" s="374"/>
      <c r="S22" s="374"/>
      <c r="T22" s="375"/>
      <c r="U22" s="440" t="s">
        <v>311</v>
      </c>
      <c r="V22" s="441"/>
      <c r="W22" s="441"/>
      <c r="X22" s="442"/>
      <c r="Y22" s="167"/>
      <c r="Z22" s="173"/>
      <c r="AA22" s="173"/>
      <c r="AB22" s="173"/>
      <c r="AC22" s="168"/>
    </row>
    <row r="23" spans="1:29" ht="16.5" customHeight="1">
      <c r="A23" s="355"/>
      <c r="B23" s="325"/>
      <c r="C23" s="326"/>
      <c r="D23" s="326"/>
      <c r="E23" s="326"/>
      <c r="F23" s="326"/>
      <c r="G23" s="326"/>
      <c r="H23" s="326"/>
      <c r="I23" s="327"/>
      <c r="J23" s="290" t="s">
        <v>203</v>
      </c>
      <c r="K23" s="290"/>
      <c r="L23" s="290"/>
      <c r="M23" s="290"/>
      <c r="N23" s="290"/>
      <c r="O23" s="172"/>
      <c r="P23" s="379"/>
      <c r="Q23" s="380"/>
      <c r="R23" s="380"/>
      <c r="S23" s="380"/>
      <c r="T23" s="381"/>
      <c r="U23" s="443"/>
      <c r="V23" s="444"/>
      <c r="W23" s="444"/>
      <c r="X23" s="445"/>
      <c r="Y23" s="167"/>
      <c r="Z23" s="173"/>
      <c r="AA23" s="173"/>
      <c r="AB23" s="173"/>
      <c r="AC23" s="168"/>
    </row>
    <row r="24" spans="1:29" ht="16.5" customHeight="1">
      <c r="A24" s="354">
        <v>3</v>
      </c>
      <c r="B24" s="319" t="s">
        <v>326</v>
      </c>
      <c r="C24" s="320"/>
      <c r="D24" s="320"/>
      <c r="E24" s="320"/>
      <c r="F24" s="320"/>
      <c r="G24" s="320"/>
      <c r="H24" s="320"/>
      <c r="I24" s="321"/>
      <c r="J24" s="290" t="s">
        <v>202</v>
      </c>
      <c r="K24" s="290"/>
      <c r="L24" s="290"/>
      <c r="M24" s="290"/>
      <c r="N24" s="290"/>
      <c r="O24" s="172" t="s">
        <v>262</v>
      </c>
      <c r="P24" s="373"/>
      <c r="Q24" s="374"/>
      <c r="R24" s="374"/>
      <c r="S24" s="374"/>
      <c r="T24" s="375"/>
      <c r="U24" s="440" t="s">
        <v>311</v>
      </c>
      <c r="V24" s="441"/>
      <c r="W24" s="441"/>
      <c r="X24" s="442"/>
      <c r="Y24" s="167"/>
      <c r="Z24" s="173">
        <f t="shared" ref="Z24:Z25" si="2">COUNTIF(O24,"O")</f>
        <v>1</v>
      </c>
      <c r="AA24" s="173">
        <v>4</v>
      </c>
      <c r="AB24" s="173">
        <f t="shared" ref="AB24:AB25" si="3">Z24*AA24</f>
        <v>4</v>
      </c>
      <c r="AC24" s="168"/>
    </row>
    <row r="25" spans="1:29" ht="16.5" customHeight="1">
      <c r="A25" s="355"/>
      <c r="B25" s="325"/>
      <c r="C25" s="326"/>
      <c r="D25" s="326"/>
      <c r="E25" s="326"/>
      <c r="F25" s="326"/>
      <c r="G25" s="326"/>
      <c r="H25" s="326"/>
      <c r="I25" s="327"/>
      <c r="J25" s="290" t="s">
        <v>203</v>
      </c>
      <c r="K25" s="290"/>
      <c r="L25" s="290"/>
      <c r="M25" s="290"/>
      <c r="N25" s="290"/>
      <c r="O25" s="172"/>
      <c r="P25" s="379"/>
      <c r="Q25" s="380"/>
      <c r="R25" s="380"/>
      <c r="S25" s="380"/>
      <c r="T25" s="381"/>
      <c r="U25" s="443"/>
      <c r="V25" s="444"/>
      <c r="W25" s="444"/>
      <c r="X25" s="445"/>
      <c r="Y25" s="167"/>
      <c r="Z25" s="173">
        <f t="shared" si="2"/>
        <v>0</v>
      </c>
      <c r="AA25" s="173">
        <v>0</v>
      </c>
      <c r="AB25" s="173">
        <f t="shared" si="3"/>
        <v>0</v>
      </c>
      <c r="AC25" s="168"/>
    </row>
    <row r="26" spans="1:29" ht="16.5" customHeight="1">
      <c r="A26" s="354">
        <v>4</v>
      </c>
      <c r="B26" s="319" t="s">
        <v>315</v>
      </c>
      <c r="C26" s="320"/>
      <c r="D26" s="320"/>
      <c r="E26" s="320"/>
      <c r="F26" s="320"/>
      <c r="G26" s="320"/>
      <c r="H26" s="320"/>
      <c r="I26" s="321"/>
      <c r="J26" s="290" t="s">
        <v>202</v>
      </c>
      <c r="K26" s="290"/>
      <c r="L26" s="290"/>
      <c r="M26" s="290"/>
      <c r="N26" s="290"/>
      <c r="O26" s="172" t="s">
        <v>262</v>
      </c>
      <c r="P26" s="373"/>
      <c r="Q26" s="374"/>
      <c r="R26" s="374"/>
      <c r="S26" s="374"/>
      <c r="T26" s="375"/>
      <c r="U26" s="440" t="s">
        <v>311</v>
      </c>
      <c r="V26" s="441"/>
      <c r="W26" s="441"/>
      <c r="X26" s="442"/>
      <c r="Y26" s="167"/>
      <c r="Z26" s="173">
        <f t="shared" ref="Z26:Z35" si="4">COUNTIF(O26,"O")</f>
        <v>1</v>
      </c>
      <c r="AA26" s="173">
        <v>4</v>
      </c>
      <c r="AB26" s="173">
        <f t="shared" ref="AB26:AB35" si="5">Z26*AA26</f>
        <v>4</v>
      </c>
      <c r="AC26" s="168"/>
    </row>
    <row r="27" spans="1:29" ht="16.5" customHeight="1">
      <c r="A27" s="355"/>
      <c r="B27" s="325"/>
      <c r="C27" s="326"/>
      <c r="D27" s="326"/>
      <c r="E27" s="326"/>
      <c r="F27" s="326"/>
      <c r="G27" s="326"/>
      <c r="H27" s="326"/>
      <c r="I27" s="327"/>
      <c r="J27" s="290" t="s">
        <v>203</v>
      </c>
      <c r="K27" s="290"/>
      <c r="L27" s="290"/>
      <c r="M27" s="290"/>
      <c r="N27" s="290"/>
      <c r="O27" s="172"/>
      <c r="P27" s="379"/>
      <c r="Q27" s="380"/>
      <c r="R27" s="380"/>
      <c r="S27" s="380"/>
      <c r="T27" s="381"/>
      <c r="U27" s="443"/>
      <c r="V27" s="444"/>
      <c r="W27" s="444"/>
      <c r="X27" s="445"/>
      <c r="Y27" s="167"/>
      <c r="Z27" s="173">
        <f t="shared" si="4"/>
        <v>0</v>
      </c>
      <c r="AA27" s="173">
        <v>0</v>
      </c>
      <c r="AB27" s="173">
        <f t="shared" si="5"/>
        <v>0</v>
      </c>
      <c r="AC27" s="168"/>
    </row>
    <row r="28" spans="1:29" ht="16.5" customHeight="1">
      <c r="A28" s="354">
        <v>5</v>
      </c>
      <c r="B28" s="319" t="s">
        <v>322</v>
      </c>
      <c r="C28" s="320"/>
      <c r="D28" s="320"/>
      <c r="E28" s="320"/>
      <c r="F28" s="320"/>
      <c r="G28" s="320"/>
      <c r="H28" s="320"/>
      <c r="I28" s="321"/>
      <c r="J28" s="290" t="s">
        <v>202</v>
      </c>
      <c r="K28" s="290"/>
      <c r="L28" s="290"/>
      <c r="M28" s="290"/>
      <c r="N28" s="290"/>
      <c r="O28" s="172" t="s">
        <v>262</v>
      </c>
      <c r="P28" s="373"/>
      <c r="Q28" s="374"/>
      <c r="R28" s="374"/>
      <c r="S28" s="374"/>
      <c r="T28" s="375"/>
      <c r="U28" s="440" t="s">
        <v>311</v>
      </c>
      <c r="V28" s="441"/>
      <c r="W28" s="441"/>
      <c r="X28" s="442"/>
      <c r="Y28" s="167"/>
      <c r="Z28" s="173">
        <f t="shared" si="4"/>
        <v>1</v>
      </c>
      <c r="AA28" s="173">
        <v>4</v>
      </c>
      <c r="AB28" s="173">
        <f t="shared" si="5"/>
        <v>4</v>
      </c>
      <c r="AC28" s="168"/>
    </row>
    <row r="29" spans="1:29" ht="16.5" customHeight="1">
      <c r="A29" s="355"/>
      <c r="B29" s="325"/>
      <c r="C29" s="326"/>
      <c r="D29" s="326"/>
      <c r="E29" s="326"/>
      <c r="F29" s="326"/>
      <c r="G29" s="326"/>
      <c r="H29" s="326"/>
      <c r="I29" s="327"/>
      <c r="J29" s="290" t="s">
        <v>203</v>
      </c>
      <c r="K29" s="290"/>
      <c r="L29" s="290"/>
      <c r="M29" s="290"/>
      <c r="N29" s="290"/>
      <c r="O29" s="172"/>
      <c r="P29" s="379"/>
      <c r="Q29" s="380"/>
      <c r="R29" s="380"/>
      <c r="S29" s="380"/>
      <c r="T29" s="381"/>
      <c r="U29" s="443"/>
      <c r="V29" s="444"/>
      <c r="W29" s="444"/>
      <c r="X29" s="445"/>
      <c r="Y29" s="167"/>
      <c r="Z29" s="173">
        <f t="shared" si="4"/>
        <v>0</v>
      </c>
      <c r="AA29" s="173">
        <v>0</v>
      </c>
      <c r="AB29" s="173">
        <f t="shared" si="5"/>
        <v>0</v>
      </c>
      <c r="AC29" s="168"/>
    </row>
    <row r="30" spans="1:29" ht="16.5" customHeight="1">
      <c r="A30" s="354">
        <v>6</v>
      </c>
      <c r="B30" s="319" t="s">
        <v>324</v>
      </c>
      <c r="C30" s="320"/>
      <c r="D30" s="320"/>
      <c r="E30" s="320"/>
      <c r="F30" s="320"/>
      <c r="G30" s="320"/>
      <c r="H30" s="320"/>
      <c r="I30" s="321"/>
      <c r="J30" s="290" t="s">
        <v>202</v>
      </c>
      <c r="K30" s="290"/>
      <c r="L30" s="290"/>
      <c r="M30" s="290"/>
      <c r="N30" s="290"/>
      <c r="O30" s="172" t="s">
        <v>262</v>
      </c>
      <c r="P30" s="373"/>
      <c r="Q30" s="374"/>
      <c r="R30" s="374"/>
      <c r="S30" s="374"/>
      <c r="T30" s="375"/>
      <c r="U30" s="440" t="s">
        <v>311</v>
      </c>
      <c r="V30" s="441"/>
      <c r="W30" s="441"/>
      <c r="X30" s="442"/>
      <c r="Y30" s="167"/>
      <c r="Z30" s="173">
        <f t="shared" ref="Z30:Z31" si="6">COUNTIF(O30,"O")</f>
        <v>1</v>
      </c>
      <c r="AA30" s="173">
        <v>4</v>
      </c>
      <c r="AB30" s="173">
        <f t="shared" ref="AB30:AB31" si="7">Z30*AA30</f>
        <v>4</v>
      </c>
      <c r="AC30" s="168"/>
    </row>
    <row r="31" spans="1:29" ht="16.5" customHeight="1">
      <c r="A31" s="355"/>
      <c r="B31" s="325"/>
      <c r="C31" s="326"/>
      <c r="D31" s="326"/>
      <c r="E31" s="326"/>
      <c r="F31" s="326"/>
      <c r="G31" s="326"/>
      <c r="H31" s="326"/>
      <c r="I31" s="327"/>
      <c r="J31" s="290" t="s">
        <v>203</v>
      </c>
      <c r="K31" s="290"/>
      <c r="L31" s="290"/>
      <c r="M31" s="290"/>
      <c r="N31" s="290"/>
      <c r="O31" s="172"/>
      <c r="P31" s="379"/>
      <c r="Q31" s="380"/>
      <c r="R31" s="380"/>
      <c r="S31" s="380"/>
      <c r="T31" s="381"/>
      <c r="U31" s="443"/>
      <c r="V31" s="444"/>
      <c r="W31" s="444"/>
      <c r="X31" s="445"/>
      <c r="Y31" s="167"/>
      <c r="Z31" s="173">
        <f t="shared" si="6"/>
        <v>0</v>
      </c>
      <c r="AA31" s="173">
        <v>0</v>
      </c>
      <c r="AB31" s="173">
        <f t="shared" si="7"/>
        <v>0</v>
      </c>
      <c r="AC31" s="168"/>
    </row>
    <row r="32" spans="1:29" ht="16.5" customHeight="1">
      <c r="A32" s="354">
        <v>7</v>
      </c>
      <c r="B32" s="319" t="s">
        <v>323</v>
      </c>
      <c r="C32" s="320"/>
      <c r="D32" s="320"/>
      <c r="E32" s="320"/>
      <c r="F32" s="320"/>
      <c r="G32" s="320"/>
      <c r="H32" s="320"/>
      <c r="I32" s="321"/>
      <c r="J32" s="290" t="s">
        <v>202</v>
      </c>
      <c r="K32" s="290"/>
      <c r="L32" s="290"/>
      <c r="M32" s="290"/>
      <c r="N32" s="290"/>
      <c r="O32" s="172" t="s">
        <v>262</v>
      </c>
      <c r="P32" s="373"/>
      <c r="Q32" s="374"/>
      <c r="R32" s="374"/>
      <c r="S32" s="374"/>
      <c r="T32" s="375"/>
      <c r="U32" s="440" t="s">
        <v>311</v>
      </c>
      <c r="V32" s="441"/>
      <c r="W32" s="441"/>
      <c r="X32" s="442"/>
      <c r="Y32" s="167"/>
      <c r="Z32" s="173">
        <f t="shared" ref="Z32:Z33" si="8">COUNTIF(O32,"O")</f>
        <v>1</v>
      </c>
      <c r="AA32" s="173">
        <v>4</v>
      </c>
      <c r="AB32" s="173">
        <f t="shared" ref="AB32:AB33" si="9">Z32*AA32</f>
        <v>4</v>
      </c>
      <c r="AC32" s="168"/>
    </row>
    <row r="33" spans="1:32" ht="16.5" customHeight="1">
      <c r="A33" s="355"/>
      <c r="B33" s="325"/>
      <c r="C33" s="326"/>
      <c r="D33" s="326"/>
      <c r="E33" s="326"/>
      <c r="F33" s="326"/>
      <c r="G33" s="326"/>
      <c r="H33" s="326"/>
      <c r="I33" s="327"/>
      <c r="J33" s="290" t="s">
        <v>203</v>
      </c>
      <c r="K33" s="290"/>
      <c r="L33" s="290"/>
      <c r="M33" s="290"/>
      <c r="N33" s="290"/>
      <c r="O33" s="172"/>
      <c r="P33" s="379"/>
      <c r="Q33" s="380"/>
      <c r="R33" s="380"/>
      <c r="S33" s="380"/>
      <c r="T33" s="381"/>
      <c r="U33" s="443"/>
      <c r="V33" s="444"/>
      <c r="W33" s="444"/>
      <c r="X33" s="445"/>
      <c r="Y33" s="167"/>
      <c r="Z33" s="173">
        <f t="shared" si="8"/>
        <v>0</v>
      </c>
      <c r="AA33" s="173">
        <v>0</v>
      </c>
      <c r="AB33" s="173">
        <f t="shared" si="9"/>
        <v>0</v>
      </c>
      <c r="AC33" s="168"/>
    </row>
    <row r="34" spans="1:32" ht="16.5" customHeight="1">
      <c r="A34" s="354">
        <v>8</v>
      </c>
      <c r="B34" s="319" t="s">
        <v>325</v>
      </c>
      <c r="C34" s="320"/>
      <c r="D34" s="320"/>
      <c r="E34" s="320"/>
      <c r="F34" s="320"/>
      <c r="G34" s="320"/>
      <c r="H34" s="320"/>
      <c r="I34" s="321"/>
      <c r="J34" s="290" t="s">
        <v>202</v>
      </c>
      <c r="K34" s="290"/>
      <c r="L34" s="290"/>
      <c r="M34" s="290"/>
      <c r="N34" s="290"/>
      <c r="O34" s="172" t="s">
        <v>262</v>
      </c>
      <c r="P34" s="373"/>
      <c r="Q34" s="374"/>
      <c r="R34" s="374"/>
      <c r="S34" s="374"/>
      <c r="T34" s="375"/>
      <c r="U34" s="440" t="s">
        <v>311</v>
      </c>
      <c r="V34" s="441"/>
      <c r="W34" s="441"/>
      <c r="X34" s="442"/>
      <c r="Y34" s="167"/>
      <c r="Z34" s="173">
        <f t="shared" si="4"/>
        <v>1</v>
      </c>
      <c r="AA34" s="173">
        <v>4</v>
      </c>
      <c r="AB34" s="173">
        <f t="shared" si="5"/>
        <v>4</v>
      </c>
      <c r="AC34" s="168"/>
    </row>
    <row r="35" spans="1:32" ht="16.5" customHeight="1">
      <c r="A35" s="355"/>
      <c r="B35" s="325"/>
      <c r="C35" s="326"/>
      <c r="D35" s="326"/>
      <c r="E35" s="326"/>
      <c r="F35" s="326"/>
      <c r="G35" s="326"/>
      <c r="H35" s="326"/>
      <c r="I35" s="327"/>
      <c r="J35" s="290" t="s">
        <v>203</v>
      </c>
      <c r="K35" s="290"/>
      <c r="L35" s="290"/>
      <c r="M35" s="290"/>
      <c r="N35" s="290"/>
      <c r="O35" s="172"/>
      <c r="P35" s="379"/>
      <c r="Q35" s="380"/>
      <c r="R35" s="380"/>
      <c r="S35" s="380"/>
      <c r="T35" s="381"/>
      <c r="U35" s="443"/>
      <c r="V35" s="444"/>
      <c r="W35" s="444"/>
      <c r="X35" s="445"/>
      <c r="Y35" s="167"/>
      <c r="Z35" s="173">
        <f t="shared" si="4"/>
        <v>0</v>
      </c>
      <c r="AA35" s="173">
        <v>0</v>
      </c>
      <c r="AB35" s="173">
        <f t="shared" si="5"/>
        <v>0</v>
      </c>
      <c r="AC35" s="168"/>
    </row>
    <row r="36" spans="1:32" ht="3" customHeight="1">
      <c r="A36" s="179"/>
      <c r="Y36" s="167"/>
      <c r="Z36" s="173"/>
      <c r="AA36" s="173"/>
      <c r="AB36" s="173"/>
      <c r="AC36" s="168"/>
      <c r="AD36" s="168"/>
      <c r="AE36" s="168"/>
      <c r="AF36" s="168"/>
    </row>
    <row r="37" spans="1:32" ht="16.5" customHeight="1">
      <c r="A37" s="397" t="s">
        <v>264</v>
      </c>
      <c r="B37" s="397"/>
      <c r="Y37" s="167"/>
      <c r="Z37" s="173"/>
      <c r="AA37" s="173"/>
      <c r="AB37" s="173"/>
      <c r="AC37" s="168"/>
      <c r="AD37" s="168"/>
      <c r="AE37" s="168"/>
      <c r="AF37" s="168"/>
    </row>
    <row r="38" spans="1:32" ht="5.0999999999999996" customHeight="1">
      <c r="A38" s="398"/>
      <c r="B38" s="399"/>
      <c r="C38" s="399"/>
      <c r="D38" s="399"/>
      <c r="E38" s="399"/>
      <c r="F38" s="399"/>
      <c r="G38" s="399"/>
      <c r="H38" s="399"/>
      <c r="I38" s="399"/>
      <c r="J38" s="399"/>
      <c r="K38" s="399"/>
      <c r="L38" s="399"/>
      <c r="M38" s="399"/>
      <c r="N38" s="399"/>
      <c r="O38" s="399"/>
      <c r="P38" s="399"/>
      <c r="Q38" s="399"/>
      <c r="R38" s="399"/>
      <c r="S38" s="399"/>
      <c r="T38" s="399"/>
      <c r="U38" s="399"/>
      <c r="V38" s="399"/>
      <c r="W38" s="399"/>
      <c r="X38" s="400"/>
      <c r="Y38" s="167"/>
      <c r="Z38" s="173"/>
      <c r="AA38" s="173"/>
      <c r="AB38" s="173"/>
      <c r="AC38" s="168"/>
      <c r="AD38" s="168"/>
      <c r="AE38" s="168"/>
      <c r="AF38" s="168"/>
    </row>
    <row r="39" spans="1:32" ht="19.95" customHeight="1">
      <c r="A39" s="171">
        <v>1</v>
      </c>
      <c r="B39" s="319" t="s">
        <v>313</v>
      </c>
      <c r="C39" s="320"/>
      <c r="D39" s="320"/>
      <c r="E39" s="320"/>
      <c r="F39" s="320"/>
      <c r="G39" s="320"/>
      <c r="H39" s="320"/>
      <c r="I39" s="321"/>
      <c r="J39" s="290" t="s">
        <v>321</v>
      </c>
      <c r="K39" s="290"/>
      <c r="L39" s="290"/>
      <c r="M39" s="290"/>
      <c r="N39" s="290"/>
      <c r="O39" s="172" t="s">
        <v>262</v>
      </c>
      <c r="P39" s="439"/>
      <c r="Q39" s="439"/>
      <c r="R39" s="439"/>
      <c r="S39" s="439"/>
      <c r="T39" s="439"/>
      <c r="U39" s="511" t="s">
        <v>201</v>
      </c>
      <c r="V39" s="512"/>
      <c r="W39" s="512"/>
      <c r="X39" s="513"/>
      <c r="Y39" s="167"/>
      <c r="Z39" s="173">
        <f>COUNTIF(O39,"O")</f>
        <v>1</v>
      </c>
      <c r="AA39" s="173">
        <v>4</v>
      </c>
      <c r="AB39" s="173">
        <f>Z39*AA39</f>
        <v>4</v>
      </c>
      <c r="AC39" s="168"/>
    </row>
    <row r="40" spans="1:32" ht="19.95" customHeight="1">
      <c r="A40" s="174"/>
      <c r="B40" s="322"/>
      <c r="C40" s="323"/>
      <c r="D40" s="323"/>
      <c r="E40" s="323"/>
      <c r="F40" s="323"/>
      <c r="G40" s="323"/>
      <c r="H40" s="323"/>
      <c r="I40" s="324"/>
      <c r="J40" s="335" t="s">
        <v>320</v>
      </c>
      <c r="K40" s="290"/>
      <c r="L40" s="290"/>
      <c r="M40" s="290"/>
      <c r="N40" s="290"/>
      <c r="O40" s="190"/>
      <c r="P40" s="336"/>
      <c r="Q40" s="336"/>
      <c r="R40" s="336"/>
      <c r="S40" s="336"/>
      <c r="T40" s="336"/>
      <c r="U40" s="415"/>
      <c r="V40" s="514"/>
      <c r="W40" s="514"/>
      <c r="X40" s="416"/>
      <c r="Y40" s="167"/>
      <c r="Z40" s="173">
        <f>COUNTIF(O40,"O")</f>
        <v>0</v>
      </c>
      <c r="AA40" s="173">
        <v>4</v>
      </c>
      <c r="AB40" s="173">
        <f>Z40*AA40</f>
        <v>0</v>
      </c>
      <c r="AC40" s="168"/>
    </row>
    <row r="41" spans="1:32" ht="25.5" customHeight="1">
      <c r="A41" s="174"/>
      <c r="B41" s="322"/>
      <c r="C41" s="323"/>
      <c r="D41" s="323"/>
      <c r="E41" s="323"/>
      <c r="F41" s="323"/>
      <c r="G41" s="323"/>
      <c r="H41" s="323"/>
      <c r="I41" s="324"/>
      <c r="J41" s="436" t="s">
        <v>319</v>
      </c>
      <c r="K41" s="437"/>
      <c r="L41" s="437"/>
      <c r="M41" s="437"/>
      <c r="N41" s="438"/>
      <c r="O41" s="190"/>
      <c r="P41" s="336"/>
      <c r="Q41" s="336"/>
      <c r="R41" s="336"/>
      <c r="S41" s="336"/>
      <c r="T41" s="336"/>
      <c r="U41" s="499"/>
      <c r="V41" s="500"/>
      <c r="W41" s="500"/>
      <c r="X41" s="501"/>
      <c r="Y41" s="167"/>
      <c r="Z41" s="173">
        <f>COUNTIF(O41,"O")</f>
        <v>0</v>
      </c>
      <c r="AA41" s="173">
        <v>0</v>
      </c>
      <c r="AB41" s="173">
        <f>Z41*AA41</f>
        <v>0</v>
      </c>
      <c r="AC41" s="168"/>
      <c r="AD41" s="168"/>
      <c r="AE41" s="168"/>
      <c r="AF41" s="168"/>
    </row>
    <row r="42" spans="1:32" ht="19.95" customHeight="1">
      <c r="A42" s="171">
        <v>2</v>
      </c>
      <c r="B42" s="319" t="s">
        <v>276</v>
      </c>
      <c r="C42" s="320"/>
      <c r="D42" s="320"/>
      <c r="E42" s="320"/>
      <c r="F42" s="320"/>
      <c r="G42" s="320"/>
      <c r="H42" s="320"/>
      <c r="I42" s="321"/>
      <c r="J42" s="290" t="s">
        <v>202</v>
      </c>
      <c r="K42" s="290"/>
      <c r="L42" s="290"/>
      <c r="M42" s="290"/>
      <c r="N42" s="290"/>
      <c r="O42" s="172" t="s">
        <v>262</v>
      </c>
      <c r="P42" s="373"/>
      <c r="Q42" s="374"/>
      <c r="R42" s="374"/>
      <c r="S42" s="374"/>
      <c r="T42" s="375"/>
      <c r="U42" s="427" t="s">
        <v>328</v>
      </c>
      <c r="V42" s="428"/>
      <c r="W42" s="428"/>
      <c r="X42" s="429"/>
      <c r="Y42" s="167"/>
      <c r="Z42" s="173">
        <f t="shared" ref="Z42:Z44" si="10">COUNTIF(O42,"O")</f>
        <v>1</v>
      </c>
      <c r="AA42" s="173">
        <v>4</v>
      </c>
      <c r="AB42" s="173">
        <f t="shared" ref="AB42:AB44" si="11">Z42*AA42</f>
        <v>4</v>
      </c>
      <c r="AC42" s="168"/>
      <c r="AD42" s="168"/>
      <c r="AE42" s="168"/>
      <c r="AF42" s="168"/>
    </row>
    <row r="43" spans="1:32" ht="19.95" customHeight="1">
      <c r="A43" s="174"/>
      <c r="B43" s="322"/>
      <c r="C43" s="323"/>
      <c r="D43" s="323"/>
      <c r="E43" s="323"/>
      <c r="F43" s="323"/>
      <c r="G43" s="323"/>
      <c r="H43" s="323"/>
      <c r="I43" s="324"/>
      <c r="J43" s="290" t="s">
        <v>203</v>
      </c>
      <c r="K43" s="290"/>
      <c r="L43" s="290"/>
      <c r="M43" s="290"/>
      <c r="N43" s="290"/>
      <c r="O43" s="172"/>
      <c r="P43" s="376"/>
      <c r="Q43" s="377"/>
      <c r="R43" s="377"/>
      <c r="S43" s="377"/>
      <c r="T43" s="378"/>
      <c r="U43" s="430"/>
      <c r="V43" s="431"/>
      <c r="W43" s="431"/>
      <c r="X43" s="432"/>
      <c r="Y43" s="167"/>
      <c r="Z43" s="173">
        <f t="shared" si="10"/>
        <v>0</v>
      </c>
      <c r="AA43" s="173">
        <v>0</v>
      </c>
      <c r="AB43" s="173">
        <f t="shared" si="11"/>
        <v>0</v>
      </c>
      <c r="AC43" s="168"/>
      <c r="AD43" s="168"/>
      <c r="AE43" s="168"/>
      <c r="AF43" s="168"/>
    </row>
    <row r="44" spans="1:32" ht="19.95" customHeight="1">
      <c r="A44" s="174"/>
      <c r="B44" s="325"/>
      <c r="C44" s="326"/>
      <c r="D44" s="326"/>
      <c r="E44" s="326"/>
      <c r="F44" s="326"/>
      <c r="G44" s="326"/>
      <c r="H44" s="326"/>
      <c r="I44" s="327"/>
      <c r="J44" s="291" t="s">
        <v>275</v>
      </c>
      <c r="K44" s="291"/>
      <c r="L44" s="291"/>
      <c r="M44" s="291"/>
      <c r="N44" s="291"/>
      <c r="O44" s="176"/>
      <c r="P44" s="379"/>
      <c r="Q44" s="380"/>
      <c r="R44" s="380"/>
      <c r="S44" s="380"/>
      <c r="T44" s="381"/>
      <c r="U44" s="433"/>
      <c r="V44" s="434"/>
      <c r="W44" s="434"/>
      <c r="X44" s="435"/>
      <c r="Y44" s="167"/>
      <c r="Z44" s="173">
        <f t="shared" si="10"/>
        <v>0</v>
      </c>
      <c r="AA44" s="173">
        <v>4</v>
      </c>
      <c r="AB44" s="173">
        <f t="shared" si="11"/>
        <v>0</v>
      </c>
      <c r="AC44" s="168"/>
      <c r="AD44" s="168"/>
      <c r="AE44" s="168"/>
      <c r="AF44" s="168"/>
    </row>
    <row r="45" spans="1:32" ht="19.95" customHeight="1">
      <c r="A45" s="171">
        <v>3</v>
      </c>
      <c r="B45" s="319" t="s">
        <v>277</v>
      </c>
      <c r="C45" s="320"/>
      <c r="D45" s="320"/>
      <c r="E45" s="320"/>
      <c r="F45" s="320"/>
      <c r="G45" s="320"/>
      <c r="H45" s="320"/>
      <c r="I45" s="321"/>
      <c r="J45" s="290" t="s">
        <v>202</v>
      </c>
      <c r="K45" s="290"/>
      <c r="L45" s="290"/>
      <c r="M45" s="290"/>
      <c r="N45" s="290"/>
      <c r="O45" s="172" t="s">
        <v>262</v>
      </c>
      <c r="P45" s="373"/>
      <c r="Q45" s="374"/>
      <c r="R45" s="374"/>
      <c r="S45" s="374"/>
      <c r="T45" s="375"/>
      <c r="U45" s="427" t="s">
        <v>328</v>
      </c>
      <c r="V45" s="428"/>
      <c r="W45" s="428"/>
      <c r="X45" s="429"/>
      <c r="Y45" s="167"/>
      <c r="Z45" s="173">
        <f t="shared" ref="Z45:Z47" si="12">COUNTIF(O45,"O")</f>
        <v>1</v>
      </c>
      <c r="AA45" s="173">
        <v>4</v>
      </c>
      <c r="AB45" s="173">
        <f t="shared" ref="AB45:AB47" si="13">Z45*AA45</f>
        <v>4</v>
      </c>
      <c r="AC45" s="168"/>
      <c r="AD45" s="168"/>
      <c r="AE45" s="168"/>
      <c r="AF45" s="168"/>
    </row>
    <row r="46" spans="1:32" ht="19.95" customHeight="1">
      <c r="A46" s="174"/>
      <c r="B46" s="322"/>
      <c r="C46" s="323"/>
      <c r="D46" s="323"/>
      <c r="E46" s="323"/>
      <c r="F46" s="323"/>
      <c r="G46" s="323"/>
      <c r="H46" s="323"/>
      <c r="I46" s="324"/>
      <c r="J46" s="290" t="s">
        <v>203</v>
      </c>
      <c r="K46" s="290"/>
      <c r="L46" s="290"/>
      <c r="M46" s="290"/>
      <c r="N46" s="290"/>
      <c r="O46" s="172"/>
      <c r="P46" s="376"/>
      <c r="Q46" s="377"/>
      <c r="R46" s="377"/>
      <c r="S46" s="377"/>
      <c r="T46" s="378"/>
      <c r="U46" s="430"/>
      <c r="V46" s="431"/>
      <c r="W46" s="431"/>
      <c r="X46" s="432"/>
      <c r="Y46" s="167"/>
      <c r="Z46" s="173">
        <f t="shared" si="12"/>
        <v>0</v>
      </c>
      <c r="AA46" s="173">
        <v>0</v>
      </c>
      <c r="AB46" s="173">
        <f t="shared" si="13"/>
        <v>0</v>
      </c>
      <c r="AC46" s="168"/>
      <c r="AD46" s="168"/>
      <c r="AE46" s="168"/>
      <c r="AF46" s="168"/>
    </row>
    <row r="47" spans="1:32" ht="19.95" customHeight="1">
      <c r="A47" s="175"/>
      <c r="B47" s="325"/>
      <c r="C47" s="326"/>
      <c r="D47" s="326"/>
      <c r="E47" s="326"/>
      <c r="F47" s="326"/>
      <c r="G47" s="326"/>
      <c r="H47" s="326"/>
      <c r="I47" s="327"/>
      <c r="J47" s="291" t="s">
        <v>275</v>
      </c>
      <c r="K47" s="291"/>
      <c r="L47" s="291"/>
      <c r="M47" s="291"/>
      <c r="N47" s="291"/>
      <c r="O47" s="176"/>
      <c r="P47" s="379"/>
      <c r="Q47" s="380"/>
      <c r="R47" s="380"/>
      <c r="S47" s="380"/>
      <c r="T47" s="381"/>
      <c r="U47" s="433"/>
      <c r="V47" s="434"/>
      <c r="W47" s="434"/>
      <c r="X47" s="435"/>
      <c r="Y47" s="167"/>
      <c r="Z47" s="173">
        <f t="shared" si="12"/>
        <v>0</v>
      </c>
      <c r="AA47" s="173">
        <v>4</v>
      </c>
      <c r="AB47" s="173">
        <f t="shared" si="13"/>
        <v>0</v>
      </c>
      <c r="AC47" s="168"/>
      <c r="AD47" s="168"/>
      <c r="AE47" s="168"/>
      <c r="AF47" s="168"/>
    </row>
    <row r="48" spans="1:32" ht="3" customHeight="1">
      <c r="A48" s="179"/>
      <c r="Y48" s="167"/>
      <c r="Z48" s="173"/>
      <c r="AA48" s="173"/>
      <c r="AB48" s="173"/>
      <c r="AC48" s="168"/>
      <c r="AD48" s="168"/>
      <c r="AE48" s="168"/>
      <c r="AF48" s="168"/>
    </row>
    <row r="49" spans="1:32" ht="16.5" customHeight="1">
      <c r="A49" s="397" t="s">
        <v>264</v>
      </c>
      <c r="B49" s="397"/>
      <c r="Y49" s="167"/>
      <c r="Z49" s="173"/>
      <c r="AA49" s="173"/>
      <c r="AB49" s="173"/>
      <c r="AC49" s="168"/>
      <c r="AD49" s="168"/>
      <c r="AE49" s="168"/>
      <c r="AF49" s="168"/>
    </row>
    <row r="50" spans="1:32" ht="5.0999999999999996" customHeight="1">
      <c r="A50" s="398"/>
      <c r="B50" s="399"/>
      <c r="C50" s="399"/>
      <c r="D50" s="399"/>
      <c r="E50" s="399"/>
      <c r="F50" s="399"/>
      <c r="G50" s="399"/>
      <c r="H50" s="399"/>
      <c r="I50" s="399"/>
      <c r="J50" s="399"/>
      <c r="K50" s="399"/>
      <c r="L50" s="399"/>
      <c r="M50" s="399"/>
      <c r="N50" s="399"/>
      <c r="O50" s="399"/>
      <c r="P50" s="399"/>
      <c r="Q50" s="399"/>
      <c r="R50" s="399"/>
      <c r="S50" s="399"/>
      <c r="T50" s="399"/>
      <c r="U50" s="399"/>
      <c r="V50" s="399"/>
      <c r="W50" s="399"/>
      <c r="X50" s="400"/>
      <c r="Y50" s="167"/>
      <c r="Z50" s="173"/>
      <c r="AA50" s="173"/>
      <c r="AB50" s="173"/>
      <c r="AC50" s="168"/>
      <c r="AD50" s="168"/>
      <c r="AE50" s="168"/>
      <c r="AF50" s="168"/>
    </row>
    <row r="51" spans="1:32" ht="16.95" customHeight="1">
      <c r="A51" s="180" t="s">
        <v>195</v>
      </c>
      <c r="B51" s="386" t="s">
        <v>196</v>
      </c>
      <c r="C51" s="386"/>
      <c r="D51" s="386"/>
      <c r="E51" s="386"/>
      <c r="F51" s="386"/>
      <c r="G51" s="386"/>
      <c r="H51" s="386"/>
      <c r="I51" s="386"/>
      <c r="J51" s="386" t="s">
        <v>197</v>
      </c>
      <c r="K51" s="386"/>
      <c r="L51" s="386"/>
      <c r="M51" s="386"/>
      <c r="N51" s="386"/>
      <c r="O51" s="181" t="s">
        <v>198</v>
      </c>
      <c r="P51" s="386" t="s">
        <v>270</v>
      </c>
      <c r="Q51" s="386"/>
      <c r="R51" s="386"/>
      <c r="S51" s="386"/>
      <c r="T51" s="386"/>
      <c r="U51" s="356" t="s">
        <v>271</v>
      </c>
      <c r="V51" s="356"/>
      <c r="W51" s="356"/>
      <c r="X51" s="357"/>
      <c r="Y51" s="167"/>
      <c r="Z51" s="173"/>
      <c r="AA51" s="173"/>
      <c r="AB51" s="173"/>
      <c r="AC51" s="168"/>
      <c r="AD51" s="168"/>
      <c r="AE51" s="168"/>
      <c r="AF51" s="168"/>
    </row>
    <row r="52" spans="1:32" ht="19.95" customHeight="1">
      <c r="A52" s="182">
        <v>1</v>
      </c>
      <c r="B52" s="364" t="s">
        <v>268</v>
      </c>
      <c r="C52" s="365"/>
      <c r="D52" s="365"/>
      <c r="E52" s="365"/>
      <c r="F52" s="365"/>
      <c r="G52" s="365"/>
      <c r="H52" s="365"/>
      <c r="I52" s="366"/>
      <c r="J52" s="290" t="s">
        <v>202</v>
      </c>
      <c r="K52" s="290"/>
      <c r="L52" s="290"/>
      <c r="M52" s="290"/>
      <c r="N52" s="290"/>
      <c r="O52" s="172"/>
      <c r="P52" s="358"/>
      <c r="Q52" s="359"/>
      <c r="R52" s="359"/>
      <c r="S52" s="359"/>
      <c r="T52" s="360"/>
      <c r="U52" s="502" t="s">
        <v>330</v>
      </c>
      <c r="V52" s="503"/>
      <c r="W52" s="503"/>
      <c r="X52" s="504"/>
      <c r="Y52" s="167"/>
      <c r="Z52" s="173">
        <f t="shared" ref="Z52:Z60" si="14">COUNTIF(O52,"O")</f>
        <v>0</v>
      </c>
      <c r="AA52" s="173">
        <v>0</v>
      </c>
      <c r="AB52" s="173">
        <f t="shared" ref="AB52:AB60" si="15">Z52*AA52</f>
        <v>0</v>
      </c>
      <c r="AC52" s="168"/>
      <c r="AD52" s="168"/>
      <c r="AE52" s="168"/>
      <c r="AF52" s="168"/>
    </row>
    <row r="53" spans="1:32" ht="19.95" customHeight="1">
      <c r="A53" s="183"/>
      <c r="B53" s="370"/>
      <c r="C53" s="371"/>
      <c r="D53" s="371"/>
      <c r="E53" s="371"/>
      <c r="F53" s="371"/>
      <c r="G53" s="371"/>
      <c r="H53" s="371"/>
      <c r="I53" s="372"/>
      <c r="J53" s="290" t="s">
        <v>203</v>
      </c>
      <c r="K53" s="290"/>
      <c r="L53" s="290"/>
      <c r="M53" s="290"/>
      <c r="N53" s="290"/>
      <c r="O53" s="172" t="s">
        <v>262</v>
      </c>
      <c r="P53" s="361"/>
      <c r="Q53" s="362"/>
      <c r="R53" s="362"/>
      <c r="S53" s="362"/>
      <c r="T53" s="363"/>
      <c r="U53" s="505"/>
      <c r="V53" s="507"/>
      <c r="W53" s="507"/>
      <c r="X53" s="506"/>
      <c r="Y53" s="167"/>
      <c r="Z53" s="173">
        <f t="shared" si="14"/>
        <v>1</v>
      </c>
      <c r="AA53" s="173">
        <v>10</v>
      </c>
      <c r="AB53" s="173">
        <f t="shared" si="15"/>
        <v>10</v>
      </c>
      <c r="AC53" s="168"/>
      <c r="AD53" s="168"/>
      <c r="AE53" s="168"/>
      <c r="AF53" s="168"/>
    </row>
    <row r="54" spans="1:32" ht="19.95" customHeight="1">
      <c r="A54" s="182">
        <v>2</v>
      </c>
      <c r="B54" s="364" t="s">
        <v>269</v>
      </c>
      <c r="C54" s="365"/>
      <c r="D54" s="365"/>
      <c r="E54" s="365"/>
      <c r="F54" s="365"/>
      <c r="G54" s="365"/>
      <c r="H54" s="365"/>
      <c r="I54" s="366"/>
      <c r="J54" s="290" t="s">
        <v>202</v>
      </c>
      <c r="K54" s="290"/>
      <c r="L54" s="290"/>
      <c r="M54" s="290"/>
      <c r="N54" s="290"/>
      <c r="O54" s="172"/>
      <c r="P54" s="364"/>
      <c r="Q54" s="365"/>
      <c r="R54" s="365"/>
      <c r="S54" s="365"/>
      <c r="T54" s="366"/>
      <c r="U54" s="505"/>
      <c r="V54" s="507"/>
      <c r="W54" s="507"/>
      <c r="X54" s="506"/>
      <c r="Y54" s="167"/>
      <c r="Z54" s="173">
        <f t="shared" si="14"/>
        <v>0</v>
      </c>
      <c r="AA54" s="173">
        <v>0</v>
      </c>
      <c r="AB54" s="173">
        <f t="shared" si="15"/>
        <v>0</v>
      </c>
      <c r="AC54" s="168"/>
      <c r="AD54" s="168"/>
      <c r="AE54" s="168"/>
      <c r="AF54" s="168"/>
    </row>
    <row r="55" spans="1:32" ht="19.95" customHeight="1">
      <c r="A55" s="184"/>
      <c r="B55" s="370"/>
      <c r="C55" s="371"/>
      <c r="D55" s="371"/>
      <c r="E55" s="371"/>
      <c r="F55" s="371"/>
      <c r="G55" s="371"/>
      <c r="H55" s="371"/>
      <c r="I55" s="372"/>
      <c r="J55" s="290" t="s">
        <v>203</v>
      </c>
      <c r="K55" s="290"/>
      <c r="L55" s="290"/>
      <c r="M55" s="290"/>
      <c r="N55" s="290"/>
      <c r="O55" s="172" t="s">
        <v>262</v>
      </c>
      <c r="P55" s="367"/>
      <c r="Q55" s="368"/>
      <c r="R55" s="368"/>
      <c r="S55" s="368"/>
      <c r="T55" s="369"/>
      <c r="U55" s="505"/>
      <c r="V55" s="507"/>
      <c r="W55" s="507"/>
      <c r="X55" s="506"/>
      <c r="Y55" s="167"/>
      <c r="Z55" s="173">
        <f t="shared" si="14"/>
        <v>1</v>
      </c>
      <c r="AA55" s="173">
        <v>10</v>
      </c>
      <c r="AB55" s="173">
        <f t="shared" si="15"/>
        <v>10</v>
      </c>
      <c r="AC55" s="168"/>
      <c r="AD55" s="168"/>
      <c r="AE55" s="168"/>
      <c r="AF55" s="168"/>
    </row>
    <row r="56" spans="1:32" ht="19.95" customHeight="1">
      <c r="A56" s="182">
        <v>3</v>
      </c>
      <c r="B56" s="319" t="s">
        <v>278</v>
      </c>
      <c r="C56" s="320"/>
      <c r="D56" s="320"/>
      <c r="E56" s="320"/>
      <c r="F56" s="320"/>
      <c r="G56" s="320"/>
      <c r="H56" s="320"/>
      <c r="I56" s="321"/>
      <c r="J56" s="290" t="s">
        <v>204</v>
      </c>
      <c r="K56" s="290"/>
      <c r="L56" s="290"/>
      <c r="M56" s="290"/>
      <c r="N56" s="290"/>
      <c r="O56" s="172" t="s">
        <v>262</v>
      </c>
      <c r="P56" s="319"/>
      <c r="Q56" s="320"/>
      <c r="R56" s="320"/>
      <c r="S56" s="320"/>
      <c r="T56" s="321"/>
      <c r="U56" s="505"/>
      <c r="V56" s="507"/>
      <c r="W56" s="507"/>
      <c r="X56" s="506"/>
      <c r="Y56" s="167"/>
      <c r="Z56" s="173">
        <f t="shared" si="14"/>
        <v>1</v>
      </c>
      <c r="AA56" s="173">
        <v>15</v>
      </c>
      <c r="AB56" s="173">
        <f t="shared" si="15"/>
        <v>15</v>
      </c>
      <c r="AC56" s="168"/>
      <c r="AD56" s="168"/>
      <c r="AE56" s="168"/>
      <c r="AF56" s="168"/>
    </row>
    <row r="57" spans="1:32" ht="19.95" customHeight="1">
      <c r="A57" s="184"/>
      <c r="B57" s="322"/>
      <c r="C57" s="323"/>
      <c r="D57" s="323"/>
      <c r="E57" s="323"/>
      <c r="F57" s="323"/>
      <c r="G57" s="323"/>
      <c r="H57" s="323"/>
      <c r="I57" s="324"/>
      <c r="J57" s="290" t="s">
        <v>205</v>
      </c>
      <c r="K57" s="290"/>
      <c r="L57" s="290"/>
      <c r="M57" s="290"/>
      <c r="N57" s="290"/>
      <c r="O57" s="172"/>
      <c r="P57" s="322"/>
      <c r="Q57" s="323"/>
      <c r="R57" s="323"/>
      <c r="S57" s="323"/>
      <c r="T57" s="324"/>
      <c r="U57" s="505"/>
      <c r="V57" s="507"/>
      <c r="W57" s="507"/>
      <c r="X57" s="506"/>
      <c r="Y57" s="167"/>
      <c r="Z57" s="173">
        <f t="shared" si="14"/>
        <v>0</v>
      </c>
      <c r="AA57" s="173">
        <v>8</v>
      </c>
      <c r="AB57" s="173">
        <f t="shared" si="15"/>
        <v>0</v>
      </c>
      <c r="AC57" s="168"/>
      <c r="AD57" s="168"/>
      <c r="AE57" s="168"/>
      <c r="AF57" s="168"/>
    </row>
    <row r="58" spans="1:32" ht="19.95" customHeight="1">
      <c r="A58" s="184"/>
      <c r="B58" s="322"/>
      <c r="C58" s="323"/>
      <c r="D58" s="323"/>
      <c r="E58" s="323"/>
      <c r="F58" s="323"/>
      <c r="G58" s="323"/>
      <c r="H58" s="323"/>
      <c r="I58" s="324"/>
      <c r="J58" s="290" t="s">
        <v>82</v>
      </c>
      <c r="K58" s="290"/>
      <c r="L58" s="290"/>
      <c r="M58" s="290"/>
      <c r="N58" s="290"/>
      <c r="O58" s="172"/>
      <c r="P58" s="322"/>
      <c r="Q58" s="323"/>
      <c r="R58" s="323"/>
      <c r="S58" s="323"/>
      <c r="T58" s="324"/>
      <c r="U58" s="505"/>
      <c r="V58" s="507"/>
      <c r="W58" s="507"/>
      <c r="X58" s="506"/>
      <c r="Y58" s="167"/>
      <c r="Z58" s="173">
        <f t="shared" si="14"/>
        <v>0</v>
      </c>
      <c r="AA58" s="173">
        <v>6</v>
      </c>
      <c r="AB58" s="173">
        <f t="shared" si="15"/>
        <v>0</v>
      </c>
      <c r="AC58" s="168"/>
      <c r="AD58" s="168"/>
      <c r="AE58" s="168"/>
      <c r="AF58" s="168"/>
    </row>
    <row r="59" spans="1:32" ht="19.95" customHeight="1">
      <c r="A59" s="184"/>
      <c r="B59" s="322"/>
      <c r="C59" s="323"/>
      <c r="D59" s="323"/>
      <c r="E59" s="323"/>
      <c r="F59" s="323"/>
      <c r="G59" s="323"/>
      <c r="H59" s="323"/>
      <c r="I59" s="324"/>
      <c r="J59" s="290" t="s">
        <v>206</v>
      </c>
      <c r="K59" s="290"/>
      <c r="L59" s="290"/>
      <c r="M59" s="290"/>
      <c r="N59" s="290"/>
      <c r="O59" s="172"/>
      <c r="P59" s="322"/>
      <c r="Q59" s="323"/>
      <c r="R59" s="323"/>
      <c r="S59" s="323"/>
      <c r="T59" s="324"/>
      <c r="U59" s="505"/>
      <c r="V59" s="507"/>
      <c r="W59" s="507"/>
      <c r="X59" s="506"/>
      <c r="Y59" s="167"/>
      <c r="Z59" s="173">
        <f t="shared" si="14"/>
        <v>0</v>
      </c>
      <c r="AA59" s="173">
        <v>4</v>
      </c>
      <c r="AB59" s="173">
        <f t="shared" si="15"/>
        <v>0</v>
      </c>
      <c r="AC59" s="168"/>
      <c r="AD59" s="168"/>
      <c r="AE59" s="168"/>
      <c r="AF59" s="168"/>
    </row>
    <row r="60" spans="1:32" ht="19.95" customHeight="1">
      <c r="A60" s="185"/>
      <c r="B60" s="394"/>
      <c r="C60" s="395"/>
      <c r="D60" s="395"/>
      <c r="E60" s="395"/>
      <c r="F60" s="395"/>
      <c r="G60" s="395"/>
      <c r="H60" s="395"/>
      <c r="I60" s="396"/>
      <c r="J60" s="382" t="s">
        <v>207</v>
      </c>
      <c r="K60" s="382"/>
      <c r="L60" s="382"/>
      <c r="M60" s="382"/>
      <c r="N60" s="382"/>
      <c r="O60" s="186"/>
      <c r="P60" s="394"/>
      <c r="Q60" s="395"/>
      <c r="R60" s="395"/>
      <c r="S60" s="395"/>
      <c r="T60" s="396"/>
      <c r="U60" s="508"/>
      <c r="V60" s="509"/>
      <c r="W60" s="509"/>
      <c r="X60" s="510"/>
      <c r="Y60" s="167"/>
      <c r="Z60" s="173">
        <f t="shared" si="14"/>
        <v>0</v>
      </c>
      <c r="AA60" s="173">
        <v>0</v>
      </c>
      <c r="AB60" s="173">
        <f t="shared" si="15"/>
        <v>0</v>
      </c>
      <c r="AC60" s="168"/>
      <c r="AD60" s="168"/>
      <c r="AE60" s="168"/>
      <c r="AF60" s="168"/>
    </row>
    <row r="61" spans="1:32" ht="3" customHeight="1">
      <c r="Y61" s="167"/>
      <c r="Z61" s="173"/>
      <c r="AA61" s="173"/>
      <c r="AB61" s="173"/>
      <c r="AC61" s="168"/>
      <c r="AD61" s="168"/>
      <c r="AE61" s="168"/>
      <c r="AF61" s="168"/>
    </row>
    <row r="62" spans="1:32" ht="16.5" customHeight="1" thickBot="1">
      <c r="A62" s="163" t="s">
        <v>265</v>
      </c>
      <c r="B62" s="163"/>
      <c r="Y62" s="167"/>
      <c r="Z62" s="173"/>
      <c r="AA62" s="173"/>
      <c r="AB62" s="173"/>
      <c r="AC62" s="168"/>
      <c r="AD62" s="168"/>
      <c r="AE62" s="168"/>
      <c r="AF62" s="168"/>
    </row>
    <row r="63" spans="1:32" ht="5.0999999999999996" customHeight="1">
      <c r="A63" s="383"/>
      <c r="B63" s="384"/>
      <c r="C63" s="384"/>
      <c r="D63" s="384"/>
      <c r="E63" s="384"/>
      <c r="F63" s="384"/>
      <c r="G63" s="384"/>
      <c r="H63" s="384"/>
      <c r="I63" s="384"/>
      <c r="J63" s="384"/>
      <c r="K63" s="384"/>
      <c r="L63" s="384"/>
      <c r="M63" s="384"/>
      <c r="N63" s="384"/>
      <c r="O63" s="384"/>
      <c r="P63" s="384"/>
      <c r="Q63" s="384"/>
      <c r="R63" s="384"/>
      <c r="S63" s="384"/>
      <c r="T63" s="384"/>
      <c r="U63" s="384"/>
      <c r="V63" s="384"/>
      <c r="W63" s="384"/>
      <c r="X63" s="385"/>
      <c r="Y63" s="167"/>
      <c r="Z63" s="173"/>
      <c r="AA63" s="173"/>
      <c r="AB63" s="173"/>
      <c r="AC63" s="168"/>
      <c r="AD63" s="168"/>
      <c r="AE63" s="168"/>
      <c r="AF63" s="168"/>
    </row>
    <row r="64" spans="1:32" ht="16.5" customHeight="1">
      <c r="A64" s="187" t="s">
        <v>195</v>
      </c>
      <c r="B64" s="386" t="s">
        <v>196</v>
      </c>
      <c r="C64" s="386"/>
      <c r="D64" s="386"/>
      <c r="E64" s="386"/>
      <c r="F64" s="386"/>
      <c r="G64" s="386"/>
      <c r="H64" s="386"/>
      <c r="I64" s="386"/>
      <c r="J64" s="386" t="s">
        <v>197</v>
      </c>
      <c r="K64" s="386"/>
      <c r="L64" s="386"/>
      <c r="M64" s="386"/>
      <c r="N64" s="386"/>
      <c r="O64" s="181" t="s">
        <v>198</v>
      </c>
      <c r="P64" s="386" t="s">
        <v>270</v>
      </c>
      <c r="Q64" s="386"/>
      <c r="R64" s="386"/>
      <c r="S64" s="386"/>
      <c r="T64" s="386"/>
      <c r="U64" s="356" t="s">
        <v>271</v>
      </c>
      <c r="V64" s="356"/>
      <c r="W64" s="356"/>
      <c r="X64" s="387"/>
      <c r="Y64" s="167"/>
      <c r="Z64" s="173"/>
      <c r="AA64" s="173"/>
      <c r="AB64" s="173"/>
      <c r="AC64" s="168"/>
      <c r="AD64" s="168"/>
      <c r="AE64" s="168"/>
      <c r="AF64" s="168"/>
    </row>
    <row r="65" spans="1:32" ht="19.95" customHeight="1">
      <c r="A65" s="171">
        <v>1</v>
      </c>
      <c r="B65" s="388" t="s">
        <v>266</v>
      </c>
      <c r="C65" s="389"/>
      <c r="D65" s="389"/>
      <c r="E65" s="389"/>
      <c r="F65" s="389"/>
      <c r="G65" s="389"/>
      <c r="H65" s="389"/>
      <c r="I65" s="390"/>
      <c r="J65" s="290" t="s">
        <v>202</v>
      </c>
      <c r="K65" s="290"/>
      <c r="L65" s="290"/>
      <c r="M65" s="290"/>
      <c r="N65" s="290"/>
      <c r="O65" s="172" t="s">
        <v>262</v>
      </c>
      <c r="P65" s="364"/>
      <c r="Q65" s="365"/>
      <c r="R65" s="365"/>
      <c r="S65" s="365"/>
      <c r="T65" s="366"/>
      <c r="U65" s="496" t="s">
        <v>279</v>
      </c>
      <c r="V65" s="497"/>
      <c r="W65" s="497"/>
      <c r="X65" s="498"/>
      <c r="Y65" s="167"/>
      <c r="Z65" s="173">
        <f>COUNTIF(O65,"O")</f>
        <v>1</v>
      </c>
      <c r="AA65" s="173">
        <v>5</v>
      </c>
      <c r="AB65" s="173">
        <f>Z65*AA65</f>
        <v>5</v>
      </c>
      <c r="AC65" s="168"/>
      <c r="AD65" s="168"/>
      <c r="AE65" s="168"/>
      <c r="AF65" s="168"/>
    </row>
    <row r="66" spans="1:32" ht="19.95" customHeight="1">
      <c r="A66" s="174"/>
      <c r="B66" s="391"/>
      <c r="C66" s="392"/>
      <c r="D66" s="392"/>
      <c r="E66" s="392"/>
      <c r="F66" s="392"/>
      <c r="G66" s="392"/>
      <c r="H66" s="392"/>
      <c r="I66" s="393"/>
      <c r="J66" s="290" t="s">
        <v>203</v>
      </c>
      <c r="K66" s="290"/>
      <c r="L66" s="290"/>
      <c r="M66" s="290"/>
      <c r="N66" s="290"/>
      <c r="O66" s="172"/>
      <c r="P66" s="370"/>
      <c r="Q66" s="371"/>
      <c r="R66" s="371"/>
      <c r="S66" s="371"/>
      <c r="T66" s="372"/>
      <c r="U66" s="499"/>
      <c r="V66" s="500"/>
      <c r="W66" s="500"/>
      <c r="X66" s="501"/>
      <c r="Y66" s="167"/>
      <c r="Z66" s="173">
        <f>COUNTIF(O66,"O")</f>
        <v>0</v>
      </c>
      <c r="AA66" s="173">
        <v>0</v>
      </c>
      <c r="AB66" s="173">
        <f>Z66*AA66</f>
        <v>0</v>
      </c>
      <c r="AC66" s="168"/>
      <c r="AD66" s="168"/>
      <c r="AE66" s="168"/>
      <c r="AF66" s="168"/>
    </row>
    <row r="67" spans="1:32" ht="19.95" customHeight="1">
      <c r="A67" s="171">
        <v>2</v>
      </c>
      <c r="B67" s="388" t="s">
        <v>267</v>
      </c>
      <c r="C67" s="389"/>
      <c r="D67" s="389"/>
      <c r="E67" s="389"/>
      <c r="F67" s="389"/>
      <c r="G67" s="389"/>
      <c r="H67" s="389"/>
      <c r="I67" s="390"/>
      <c r="J67" s="358" t="s">
        <v>202</v>
      </c>
      <c r="K67" s="359"/>
      <c r="L67" s="359"/>
      <c r="M67" s="359"/>
      <c r="N67" s="360"/>
      <c r="O67" s="172" t="s">
        <v>262</v>
      </c>
      <c r="P67" s="334"/>
      <c r="Q67" s="334"/>
      <c r="R67" s="334"/>
      <c r="S67" s="334"/>
      <c r="T67" s="334"/>
      <c r="U67" s="496" t="s">
        <v>279</v>
      </c>
      <c r="V67" s="497"/>
      <c r="W67" s="497"/>
      <c r="X67" s="498"/>
      <c r="Y67" s="167"/>
      <c r="Z67" s="173">
        <f>COUNTIF(O67,"O")</f>
        <v>1</v>
      </c>
      <c r="AA67" s="173">
        <v>10</v>
      </c>
      <c r="AB67" s="173">
        <f>Z67*AA67</f>
        <v>10</v>
      </c>
      <c r="AC67" s="168"/>
      <c r="AD67" s="168"/>
      <c r="AE67" s="168"/>
      <c r="AF67" s="168"/>
    </row>
    <row r="68" spans="1:32" ht="19.95" customHeight="1" thickBot="1">
      <c r="A68" s="177"/>
      <c r="B68" s="409"/>
      <c r="C68" s="410"/>
      <c r="D68" s="410"/>
      <c r="E68" s="410"/>
      <c r="F68" s="410"/>
      <c r="G68" s="410"/>
      <c r="H68" s="410"/>
      <c r="I68" s="411"/>
      <c r="J68" s="401" t="s">
        <v>203</v>
      </c>
      <c r="K68" s="402"/>
      <c r="L68" s="402"/>
      <c r="M68" s="402"/>
      <c r="N68" s="402"/>
      <c r="O68" s="178"/>
      <c r="P68" s="403"/>
      <c r="Q68" s="404"/>
      <c r="R68" s="404"/>
      <c r="S68" s="404"/>
      <c r="T68" s="405"/>
      <c r="U68" s="406"/>
      <c r="V68" s="407"/>
      <c r="W68" s="407"/>
      <c r="X68" s="408"/>
      <c r="Y68" s="167"/>
      <c r="Z68" s="173">
        <f>COUNTIF(O68,"O")</f>
        <v>0</v>
      </c>
      <c r="AA68" s="173">
        <v>0</v>
      </c>
      <c r="AB68" s="173">
        <f>Z68*AA68</f>
        <v>0</v>
      </c>
      <c r="AC68" s="168"/>
      <c r="AD68" s="168"/>
      <c r="AE68" s="168"/>
      <c r="AF68" s="168"/>
    </row>
    <row r="69" spans="1:32" ht="3" customHeight="1">
      <c r="Y69" s="167"/>
      <c r="Z69" s="173"/>
      <c r="AA69" s="173"/>
      <c r="AB69" s="173"/>
      <c r="AC69" s="168"/>
      <c r="AD69" s="168"/>
      <c r="AE69" s="168"/>
      <c r="AF69" s="168"/>
    </row>
    <row r="70" spans="1:32" ht="16.5" customHeight="1" thickBot="1">
      <c r="A70" s="163" t="s">
        <v>272</v>
      </c>
      <c r="B70" s="163"/>
      <c r="Y70" s="167"/>
      <c r="Z70" s="173"/>
      <c r="AA70" s="173"/>
      <c r="AB70" s="173"/>
      <c r="AC70" s="168"/>
      <c r="AD70" s="168"/>
      <c r="AE70" s="168"/>
      <c r="AF70" s="168"/>
    </row>
    <row r="71" spans="1:32" ht="5.0999999999999996" customHeight="1">
      <c r="A71" s="383"/>
      <c r="B71" s="384"/>
      <c r="C71" s="384"/>
      <c r="D71" s="384"/>
      <c r="E71" s="384"/>
      <c r="F71" s="384"/>
      <c r="G71" s="384"/>
      <c r="H71" s="384"/>
      <c r="I71" s="384"/>
      <c r="J71" s="384"/>
      <c r="K71" s="384"/>
      <c r="L71" s="384"/>
      <c r="M71" s="384"/>
      <c r="N71" s="384"/>
      <c r="O71" s="384"/>
      <c r="P71" s="384"/>
      <c r="Q71" s="384"/>
      <c r="R71" s="384"/>
      <c r="S71" s="384"/>
      <c r="T71" s="384"/>
      <c r="U71" s="384"/>
      <c r="V71" s="384"/>
      <c r="W71" s="384"/>
      <c r="X71" s="385"/>
      <c r="Y71" s="167"/>
      <c r="Z71" s="173"/>
      <c r="AA71" s="173"/>
      <c r="AB71" s="173"/>
      <c r="AC71" s="168"/>
      <c r="AD71" s="168"/>
      <c r="AE71" s="168"/>
      <c r="AF71" s="168"/>
    </row>
    <row r="72" spans="1:32" ht="16.5" customHeight="1">
      <c r="A72" s="187" t="s">
        <v>195</v>
      </c>
      <c r="B72" s="386" t="s">
        <v>196</v>
      </c>
      <c r="C72" s="386"/>
      <c r="D72" s="386"/>
      <c r="E72" s="386"/>
      <c r="F72" s="386"/>
      <c r="G72" s="386"/>
      <c r="H72" s="386"/>
      <c r="I72" s="386"/>
      <c r="J72" s="386" t="s">
        <v>197</v>
      </c>
      <c r="K72" s="386"/>
      <c r="L72" s="386"/>
      <c r="M72" s="386"/>
      <c r="N72" s="386"/>
      <c r="O72" s="181" t="s">
        <v>198</v>
      </c>
      <c r="P72" s="386" t="s">
        <v>199</v>
      </c>
      <c r="Q72" s="386"/>
      <c r="R72" s="386"/>
      <c r="S72" s="386"/>
      <c r="T72" s="386"/>
      <c r="U72" s="356" t="s">
        <v>200</v>
      </c>
      <c r="V72" s="356"/>
      <c r="W72" s="356"/>
      <c r="X72" s="387"/>
      <c r="Y72" s="167"/>
      <c r="Z72" s="173"/>
      <c r="AA72" s="173"/>
      <c r="AB72" s="173"/>
      <c r="AC72" s="168"/>
      <c r="AD72" s="168"/>
      <c r="AE72" s="168"/>
      <c r="AF72" s="168"/>
    </row>
    <row r="73" spans="1:32" ht="19.95" customHeight="1">
      <c r="A73" s="171">
        <v>1</v>
      </c>
      <c r="B73" s="319" t="s">
        <v>317</v>
      </c>
      <c r="C73" s="320"/>
      <c r="D73" s="320"/>
      <c r="E73" s="320"/>
      <c r="F73" s="320"/>
      <c r="G73" s="320"/>
      <c r="H73" s="320"/>
      <c r="I73" s="321"/>
      <c r="J73" s="358" t="s">
        <v>273</v>
      </c>
      <c r="K73" s="359"/>
      <c r="L73" s="359"/>
      <c r="M73" s="359"/>
      <c r="N73" s="360"/>
      <c r="O73" s="172" t="s">
        <v>262</v>
      </c>
      <c r="P73" s="417"/>
      <c r="Q73" s="418"/>
      <c r="R73" s="418"/>
      <c r="S73" s="418"/>
      <c r="T73" s="419"/>
      <c r="U73" s="496" t="s">
        <v>329</v>
      </c>
      <c r="V73" s="497"/>
      <c r="W73" s="497"/>
      <c r="X73" s="498"/>
      <c r="Y73" s="167"/>
      <c r="Z73" s="173">
        <f t="shared" ref="Z73:Z76" si="16">COUNTIF(O73,"O")</f>
        <v>1</v>
      </c>
      <c r="AA73" s="173">
        <v>5</v>
      </c>
      <c r="AB73" s="173">
        <f t="shared" ref="AB73:AB76" si="17">Z73*AA73</f>
        <v>5</v>
      </c>
      <c r="AC73" s="168"/>
      <c r="AD73" s="168"/>
      <c r="AE73" s="168"/>
      <c r="AF73" s="168"/>
    </row>
    <row r="74" spans="1:32" ht="19.95" customHeight="1">
      <c r="A74" s="175"/>
      <c r="B74" s="322"/>
      <c r="C74" s="323"/>
      <c r="D74" s="323"/>
      <c r="E74" s="323"/>
      <c r="F74" s="323"/>
      <c r="G74" s="323"/>
      <c r="H74" s="323"/>
      <c r="I74" s="324"/>
      <c r="J74" s="358" t="s">
        <v>203</v>
      </c>
      <c r="K74" s="359"/>
      <c r="L74" s="359"/>
      <c r="M74" s="359"/>
      <c r="N74" s="359"/>
      <c r="O74" s="172"/>
      <c r="P74" s="420"/>
      <c r="Q74" s="421"/>
      <c r="R74" s="421"/>
      <c r="S74" s="421"/>
      <c r="T74" s="422"/>
      <c r="U74" s="499"/>
      <c r="V74" s="500"/>
      <c r="W74" s="500"/>
      <c r="X74" s="501"/>
      <c r="Y74" s="167"/>
      <c r="Z74" s="173">
        <f t="shared" si="16"/>
        <v>0</v>
      </c>
      <c r="AA74" s="173">
        <v>0</v>
      </c>
      <c r="AB74" s="173">
        <f t="shared" si="17"/>
        <v>0</v>
      </c>
      <c r="AC74" s="168"/>
      <c r="AD74" s="168"/>
      <c r="AE74" s="168"/>
      <c r="AF74" s="168"/>
    </row>
    <row r="75" spans="1:32" ht="19.95" customHeight="1">
      <c r="A75" s="171">
        <v>2</v>
      </c>
      <c r="B75" s="319" t="s">
        <v>318</v>
      </c>
      <c r="C75" s="320"/>
      <c r="D75" s="320"/>
      <c r="E75" s="320"/>
      <c r="F75" s="320"/>
      <c r="G75" s="320"/>
      <c r="H75" s="320"/>
      <c r="I75" s="321"/>
      <c r="J75" s="358" t="s">
        <v>202</v>
      </c>
      <c r="K75" s="359"/>
      <c r="L75" s="359"/>
      <c r="M75" s="359"/>
      <c r="N75" s="360"/>
      <c r="O75" s="172" t="s">
        <v>262</v>
      </c>
      <c r="P75" s="417"/>
      <c r="Q75" s="418"/>
      <c r="R75" s="418"/>
      <c r="S75" s="418"/>
      <c r="T75" s="419"/>
      <c r="U75" s="496"/>
      <c r="V75" s="497"/>
      <c r="W75" s="497"/>
      <c r="X75" s="498"/>
      <c r="Y75" s="167"/>
      <c r="Z75" s="173">
        <f t="shared" si="16"/>
        <v>1</v>
      </c>
      <c r="AA75" s="173">
        <v>5</v>
      </c>
      <c r="AB75" s="173">
        <f t="shared" si="17"/>
        <v>5</v>
      </c>
      <c r="AC75" s="168"/>
      <c r="AD75" s="168"/>
      <c r="AE75" s="168"/>
      <c r="AF75" s="168"/>
    </row>
    <row r="76" spans="1:32" ht="19.95" customHeight="1" thickBot="1">
      <c r="A76" s="177"/>
      <c r="B76" s="412"/>
      <c r="C76" s="413"/>
      <c r="D76" s="413"/>
      <c r="E76" s="413"/>
      <c r="F76" s="413"/>
      <c r="G76" s="413"/>
      <c r="H76" s="413"/>
      <c r="I76" s="414"/>
      <c r="J76" s="401" t="s">
        <v>203</v>
      </c>
      <c r="K76" s="402"/>
      <c r="L76" s="402"/>
      <c r="M76" s="402"/>
      <c r="N76" s="402"/>
      <c r="O76" s="178"/>
      <c r="P76" s="423"/>
      <c r="Q76" s="424"/>
      <c r="R76" s="424"/>
      <c r="S76" s="424"/>
      <c r="T76" s="425"/>
      <c r="U76" s="406"/>
      <c r="V76" s="407"/>
      <c r="W76" s="407"/>
      <c r="X76" s="408"/>
      <c r="Y76" s="167"/>
      <c r="Z76" s="173">
        <f t="shared" si="16"/>
        <v>0</v>
      </c>
      <c r="AA76" s="173">
        <v>0</v>
      </c>
      <c r="AB76" s="173">
        <f t="shared" si="17"/>
        <v>0</v>
      </c>
      <c r="AC76" s="168"/>
      <c r="AD76" s="168"/>
      <c r="AE76" s="168"/>
      <c r="AF76" s="168"/>
    </row>
    <row r="77" spans="1:32" ht="16.5" customHeight="1">
      <c r="Z77" s="188"/>
      <c r="AA77" s="188"/>
      <c r="AB77" s="188"/>
      <c r="AD77" s="168"/>
      <c r="AE77" s="168"/>
      <c r="AF77" s="168"/>
    </row>
    <row r="78" spans="1:32" ht="27.6" customHeight="1">
      <c r="Q78" s="289" t="s">
        <v>302</v>
      </c>
      <c r="R78" s="289"/>
      <c r="S78" s="289"/>
      <c r="T78" s="289"/>
      <c r="U78" s="289"/>
      <c r="V78" s="289"/>
      <c r="W78" s="289"/>
      <c r="X78" s="289"/>
      <c r="AD78" s="168"/>
      <c r="AE78" s="168"/>
      <c r="AF78" s="168"/>
    </row>
    <row r="79" spans="1:32" ht="6" customHeight="1">
      <c r="Z79" s="168"/>
      <c r="AA79" s="168"/>
      <c r="AB79" s="168"/>
      <c r="AC79" s="168"/>
      <c r="AD79" s="168"/>
      <c r="AE79" s="168"/>
      <c r="AF79" s="168"/>
    </row>
    <row r="80" spans="1:32" ht="16.5" customHeight="1">
      <c r="Z80" s="168"/>
      <c r="AA80" s="168"/>
      <c r="AB80" s="168"/>
      <c r="AC80" s="168"/>
      <c r="AD80" s="168"/>
      <c r="AE80" s="168"/>
      <c r="AF80" s="168"/>
    </row>
    <row r="81" spans="26:32" ht="16.5" customHeight="1">
      <c r="Z81" s="168"/>
      <c r="AA81" s="168"/>
      <c r="AB81" s="168"/>
      <c r="AC81" s="168"/>
      <c r="AD81" s="168"/>
      <c r="AE81" s="168"/>
      <c r="AF81" s="168"/>
    </row>
    <row r="82" spans="26:32" ht="16.5" customHeight="1">
      <c r="Z82" s="168"/>
      <c r="AA82" s="168"/>
      <c r="AB82" s="168"/>
      <c r="AC82" s="168"/>
      <c r="AD82" s="168"/>
      <c r="AE82" s="168"/>
      <c r="AF82" s="168"/>
    </row>
    <row r="83" spans="26:32" ht="16.5" customHeight="1">
      <c r="Z83" s="168"/>
      <c r="AA83" s="168"/>
      <c r="AB83" s="168"/>
      <c r="AC83" s="168"/>
      <c r="AD83" s="168"/>
      <c r="AE83" s="168"/>
      <c r="AF83" s="168"/>
    </row>
    <row r="84" spans="26:32" ht="16.5" customHeight="1">
      <c r="Z84" s="168"/>
      <c r="AA84" s="168"/>
      <c r="AB84" s="168"/>
      <c r="AC84" s="168"/>
      <c r="AD84" s="168"/>
      <c r="AE84" s="168"/>
      <c r="AF84" s="168"/>
    </row>
    <row r="85" spans="26:32" ht="16.5" customHeight="1">
      <c r="Z85" s="168"/>
      <c r="AA85" s="168"/>
      <c r="AB85" s="168"/>
      <c r="AC85" s="168"/>
      <c r="AD85" s="168"/>
      <c r="AE85" s="168"/>
      <c r="AF85" s="168"/>
    </row>
    <row r="86" spans="26:32" ht="16.5" customHeight="1">
      <c r="Z86" s="168"/>
      <c r="AA86" s="168"/>
      <c r="AB86" s="168"/>
      <c r="AC86" s="168"/>
      <c r="AD86" s="168"/>
      <c r="AE86" s="168"/>
      <c r="AF86" s="168"/>
    </row>
    <row r="87" spans="26:32" ht="16.5" customHeight="1">
      <c r="AD87" s="168"/>
      <c r="AE87" s="168"/>
      <c r="AF87" s="168"/>
    </row>
    <row r="88" spans="26:32" ht="16.5" customHeight="1">
      <c r="AD88" s="168"/>
      <c r="AE88" s="168"/>
      <c r="AF88" s="168"/>
    </row>
    <row r="89" spans="26:32" ht="16.5" customHeight="1">
      <c r="AD89" s="168"/>
      <c r="AE89" s="168"/>
      <c r="AF89" s="168"/>
    </row>
    <row r="90" spans="26:32" ht="16.5" customHeight="1">
      <c r="AD90" s="168"/>
      <c r="AE90" s="168"/>
      <c r="AF90" s="168"/>
    </row>
    <row r="91" spans="26:32" ht="16.5" customHeight="1">
      <c r="AD91" s="168"/>
      <c r="AE91" s="168"/>
      <c r="AF91" s="168"/>
    </row>
  </sheetData>
  <mergeCells count="166">
    <mergeCell ref="U65:X66"/>
    <mergeCell ref="U67:X68"/>
    <mergeCell ref="U73:X74"/>
    <mergeCell ref="U75:X76"/>
    <mergeCell ref="U52:X60"/>
    <mergeCell ref="U39:X41"/>
    <mergeCell ref="A26:A27"/>
    <mergeCell ref="B26:I27"/>
    <mergeCell ref="J26:N26"/>
    <mergeCell ref="P26:T27"/>
    <mergeCell ref="U26:X27"/>
    <mergeCell ref="J27:N27"/>
    <mergeCell ref="A34:A35"/>
    <mergeCell ref="B34:I35"/>
    <mergeCell ref="J34:N34"/>
    <mergeCell ref="P34:T35"/>
    <mergeCell ref="U34:X35"/>
    <mergeCell ref="J35:N35"/>
    <mergeCell ref="A28:A29"/>
    <mergeCell ref="B28:I29"/>
    <mergeCell ref="J28:N28"/>
    <mergeCell ref="P28:T29"/>
    <mergeCell ref="U28:X29"/>
    <mergeCell ref="J29:N29"/>
    <mergeCell ref="A17:C17"/>
    <mergeCell ref="A20:A21"/>
    <mergeCell ref="B20:I21"/>
    <mergeCell ref="J20:N20"/>
    <mergeCell ref="J21:N21"/>
    <mergeCell ref="P20:T21"/>
    <mergeCell ref="U20:X21"/>
    <mergeCell ref="A24:A25"/>
    <mergeCell ref="B24:I25"/>
    <mergeCell ref="J24:N24"/>
    <mergeCell ref="J25:N25"/>
    <mergeCell ref="P24:T25"/>
    <mergeCell ref="U24:X25"/>
    <mergeCell ref="A22:A23"/>
    <mergeCell ref="B22:I23"/>
    <mergeCell ref="J22:N22"/>
    <mergeCell ref="P22:T23"/>
    <mergeCell ref="U22:X23"/>
    <mergeCell ref="J23:N23"/>
    <mergeCell ref="A1:X1"/>
    <mergeCell ref="B39:I41"/>
    <mergeCell ref="B42:I44"/>
    <mergeCell ref="A18:X18"/>
    <mergeCell ref="P42:T44"/>
    <mergeCell ref="U42:X44"/>
    <mergeCell ref="J43:N43"/>
    <mergeCell ref="J44:N44"/>
    <mergeCell ref="J42:N42"/>
    <mergeCell ref="J41:N41"/>
    <mergeCell ref="P41:T41"/>
    <mergeCell ref="J39:N39"/>
    <mergeCell ref="P39:T39"/>
    <mergeCell ref="J30:N30"/>
    <mergeCell ref="P30:T31"/>
    <mergeCell ref="U30:X31"/>
    <mergeCell ref="J31:N31"/>
    <mergeCell ref="A32:A33"/>
    <mergeCell ref="B32:I33"/>
    <mergeCell ref="J32:N32"/>
    <mergeCell ref="P32:T33"/>
    <mergeCell ref="U32:X33"/>
    <mergeCell ref="J33:N33"/>
    <mergeCell ref="A71:X71"/>
    <mergeCell ref="B72:I72"/>
    <mergeCell ref="J72:N72"/>
    <mergeCell ref="J73:N73"/>
    <mergeCell ref="J76:N76"/>
    <mergeCell ref="P72:T72"/>
    <mergeCell ref="U72:X72"/>
    <mergeCell ref="J74:N74"/>
    <mergeCell ref="B73:I74"/>
    <mergeCell ref="B75:I76"/>
    <mergeCell ref="J75:N75"/>
    <mergeCell ref="P73:T74"/>
    <mergeCell ref="P75:T76"/>
    <mergeCell ref="J67:N67"/>
    <mergeCell ref="P67:T67"/>
    <mergeCell ref="J68:N68"/>
    <mergeCell ref="P68:T68"/>
    <mergeCell ref="B67:I68"/>
    <mergeCell ref="J65:N65"/>
    <mergeCell ref="J66:N66"/>
    <mergeCell ref="J60:N60"/>
    <mergeCell ref="A63:X63"/>
    <mergeCell ref="B64:I64"/>
    <mergeCell ref="J64:N64"/>
    <mergeCell ref="P64:T64"/>
    <mergeCell ref="U64:X64"/>
    <mergeCell ref="P65:T66"/>
    <mergeCell ref="B65:I66"/>
    <mergeCell ref="B56:I60"/>
    <mergeCell ref="J57:N57"/>
    <mergeCell ref="J58:N58"/>
    <mergeCell ref="J59:N59"/>
    <mergeCell ref="J56:N56"/>
    <mergeCell ref="P56:T60"/>
    <mergeCell ref="B30:I31"/>
    <mergeCell ref="U51:X51"/>
    <mergeCell ref="J54:N54"/>
    <mergeCell ref="J55:N55"/>
    <mergeCell ref="J52:N52"/>
    <mergeCell ref="P52:T52"/>
    <mergeCell ref="J53:N53"/>
    <mergeCell ref="P53:T53"/>
    <mergeCell ref="P54:T55"/>
    <mergeCell ref="B52:I53"/>
    <mergeCell ref="B54:I55"/>
    <mergeCell ref="P45:T47"/>
    <mergeCell ref="U45:X47"/>
    <mergeCell ref="A49:B49"/>
    <mergeCell ref="A50:X50"/>
    <mergeCell ref="B51:I51"/>
    <mergeCell ref="J51:N51"/>
    <mergeCell ref="P51:T51"/>
    <mergeCell ref="A37:B37"/>
    <mergeCell ref="A38:X38"/>
    <mergeCell ref="J45:N45"/>
    <mergeCell ref="Z14:AB14"/>
    <mergeCell ref="Z15:AB15"/>
    <mergeCell ref="J40:N40"/>
    <mergeCell ref="P40:T40"/>
    <mergeCell ref="A7:X7"/>
    <mergeCell ref="A15:D15"/>
    <mergeCell ref="E15:L15"/>
    <mergeCell ref="M15:P15"/>
    <mergeCell ref="Q15:X15"/>
    <mergeCell ref="B19:I19"/>
    <mergeCell ref="J19:N19"/>
    <mergeCell ref="P19:T19"/>
    <mergeCell ref="U19:X19"/>
    <mergeCell ref="A10:D10"/>
    <mergeCell ref="Q10:T10"/>
    <mergeCell ref="U10:X10"/>
    <mergeCell ref="A13:X13"/>
    <mergeCell ref="A14:D14"/>
    <mergeCell ref="E14:L14"/>
    <mergeCell ref="Z11:AB11"/>
    <mergeCell ref="A30:A31"/>
    <mergeCell ref="Q78:X78"/>
    <mergeCell ref="J46:N46"/>
    <mergeCell ref="J47:N47"/>
    <mergeCell ref="A2:X2"/>
    <mergeCell ref="R4:T4"/>
    <mergeCell ref="U4:X4"/>
    <mergeCell ref="M14:P14"/>
    <mergeCell ref="Q14:X14"/>
    <mergeCell ref="E10:H10"/>
    <mergeCell ref="I10:L10"/>
    <mergeCell ref="M10:P10"/>
    <mergeCell ref="A9:D9"/>
    <mergeCell ref="E9:H9"/>
    <mergeCell ref="I9:L9"/>
    <mergeCell ref="M9:P9"/>
    <mergeCell ref="Q9:T9"/>
    <mergeCell ref="U9:X9"/>
    <mergeCell ref="A8:D8"/>
    <mergeCell ref="E8:H8"/>
    <mergeCell ref="I8:L8"/>
    <mergeCell ref="M8:P8"/>
    <mergeCell ref="Q8:T8"/>
    <mergeCell ref="U8:X8"/>
    <mergeCell ref="B45:I47"/>
  </mergeCells>
  <phoneticPr fontId="6" type="noConversion"/>
  <dataValidations count="1">
    <dataValidation type="list" allowBlank="1" showInputMessage="1" showErrorMessage="1" sqref="O52:O60 O65:O68 O39:O47 O73:O76 O20:O35" xr:uid="{00000000-0002-0000-0400-000000000000}">
      <formula1>"O,X"</formula1>
    </dataValidation>
  </dataValidations>
  <printOptions horizontalCentered="1"/>
  <pageMargins left="0.23622047244094491" right="0.23622047244094491" top="0.16" bottom="0.16" header="0.16" footer="0.16"/>
  <pageSetup paperSize="9" scale="67" fitToHeight="0"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G48"/>
  <sheetViews>
    <sheetView showGridLines="0" zoomScale="85" zoomScaleNormal="85" zoomScaleSheetLayoutView="70" workbookViewId="0"/>
  </sheetViews>
  <sheetFormatPr defaultRowHeight="18" customHeight="1"/>
  <cols>
    <col min="1" max="1" width="2.796875" style="8" customWidth="1"/>
    <col min="2" max="2" width="18.69921875" style="2" customWidth="1"/>
    <col min="3" max="3" width="29" style="2" customWidth="1"/>
    <col min="4" max="4" width="9" style="2" customWidth="1"/>
    <col min="5" max="5" width="44.796875" style="8" customWidth="1"/>
    <col min="6" max="6" width="14.8984375" style="8" customWidth="1"/>
    <col min="7" max="7" width="13.69921875" style="8" customWidth="1"/>
    <col min="8" max="252" width="8.8984375" style="8"/>
    <col min="253" max="253" width="2.796875" style="8" customWidth="1"/>
    <col min="254" max="254" width="18.69921875" style="8" customWidth="1"/>
    <col min="255" max="255" width="29" style="8" customWidth="1"/>
    <col min="256" max="256" width="9" style="8" customWidth="1"/>
    <col min="257" max="257" width="44.796875" style="8" customWidth="1"/>
    <col min="258" max="258" width="14.8984375" style="8" customWidth="1"/>
    <col min="259" max="259" width="13.69921875" style="8" customWidth="1"/>
    <col min="260" max="508" width="8.8984375" style="8"/>
    <col min="509" max="509" width="2.796875" style="8" customWidth="1"/>
    <col min="510" max="510" width="18.69921875" style="8" customWidth="1"/>
    <col min="511" max="511" width="29" style="8" customWidth="1"/>
    <col min="512" max="512" width="9" style="8" customWidth="1"/>
    <col min="513" max="513" width="44.796875" style="8" customWidth="1"/>
    <col min="514" max="514" width="14.8984375" style="8" customWidth="1"/>
    <col min="515" max="515" width="13.69921875" style="8" customWidth="1"/>
    <col min="516" max="764" width="8.8984375" style="8"/>
    <col min="765" max="765" width="2.796875" style="8" customWidth="1"/>
    <col min="766" max="766" width="18.69921875" style="8" customWidth="1"/>
    <col min="767" max="767" width="29" style="8" customWidth="1"/>
    <col min="768" max="768" width="9" style="8" customWidth="1"/>
    <col min="769" max="769" width="44.796875" style="8" customWidth="1"/>
    <col min="770" max="770" width="14.8984375" style="8" customWidth="1"/>
    <col min="771" max="771" width="13.69921875" style="8" customWidth="1"/>
    <col min="772" max="1020" width="8.8984375" style="8"/>
    <col min="1021" max="1021" width="2.796875" style="8" customWidth="1"/>
    <col min="1022" max="1022" width="18.69921875" style="8" customWidth="1"/>
    <col min="1023" max="1023" width="29" style="8" customWidth="1"/>
    <col min="1024" max="1024" width="9" style="8" customWidth="1"/>
    <col min="1025" max="1025" width="44.796875" style="8" customWidth="1"/>
    <col min="1026" max="1026" width="14.8984375" style="8" customWidth="1"/>
    <col min="1027" max="1027" width="13.69921875" style="8" customWidth="1"/>
    <col min="1028" max="1276" width="8.8984375" style="8"/>
    <col min="1277" max="1277" width="2.796875" style="8" customWidth="1"/>
    <col min="1278" max="1278" width="18.69921875" style="8" customWidth="1"/>
    <col min="1279" max="1279" width="29" style="8" customWidth="1"/>
    <col min="1280" max="1280" width="9" style="8" customWidth="1"/>
    <col min="1281" max="1281" width="44.796875" style="8" customWidth="1"/>
    <col min="1282" max="1282" width="14.8984375" style="8" customWidth="1"/>
    <col min="1283" max="1283" width="13.69921875" style="8" customWidth="1"/>
    <col min="1284" max="1532" width="8.8984375" style="8"/>
    <col min="1533" max="1533" width="2.796875" style="8" customWidth="1"/>
    <col min="1534" max="1534" width="18.69921875" style="8" customWidth="1"/>
    <col min="1535" max="1535" width="29" style="8" customWidth="1"/>
    <col min="1536" max="1536" width="9" style="8" customWidth="1"/>
    <col min="1537" max="1537" width="44.796875" style="8" customWidth="1"/>
    <col min="1538" max="1538" width="14.8984375" style="8" customWidth="1"/>
    <col min="1539" max="1539" width="13.69921875" style="8" customWidth="1"/>
    <col min="1540" max="1788" width="8.8984375" style="8"/>
    <col min="1789" max="1789" width="2.796875" style="8" customWidth="1"/>
    <col min="1790" max="1790" width="18.69921875" style="8" customWidth="1"/>
    <col min="1791" max="1791" width="29" style="8" customWidth="1"/>
    <col min="1792" max="1792" width="9" style="8" customWidth="1"/>
    <col min="1793" max="1793" width="44.796875" style="8" customWidth="1"/>
    <col min="1794" max="1794" width="14.8984375" style="8" customWidth="1"/>
    <col min="1795" max="1795" width="13.69921875" style="8" customWidth="1"/>
    <col min="1796" max="2044" width="8.8984375" style="8"/>
    <col min="2045" max="2045" width="2.796875" style="8" customWidth="1"/>
    <col min="2046" max="2046" width="18.69921875" style="8" customWidth="1"/>
    <col min="2047" max="2047" width="29" style="8" customWidth="1"/>
    <col min="2048" max="2048" width="9" style="8" customWidth="1"/>
    <col min="2049" max="2049" width="44.796875" style="8" customWidth="1"/>
    <col min="2050" max="2050" width="14.8984375" style="8" customWidth="1"/>
    <col min="2051" max="2051" width="13.69921875" style="8" customWidth="1"/>
    <col min="2052" max="2300" width="8.8984375" style="8"/>
    <col min="2301" max="2301" width="2.796875" style="8" customWidth="1"/>
    <col min="2302" max="2302" width="18.69921875" style="8" customWidth="1"/>
    <col min="2303" max="2303" width="29" style="8" customWidth="1"/>
    <col min="2304" max="2304" width="9" style="8" customWidth="1"/>
    <col min="2305" max="2305" width="44.796875" style="8" customWidth="1"/>
    <col min="2306" max="2306" width="14.8984375" style="8" customWidth="1"/>
    <col min="2307" max="2307" width="13.69921875" style="8" customWidth="1"/>
    <col min="2308" max="2556" width="8.8984375" style="8"/>
    <col min="2557" max="2557" width="2.796875" style="8" customWidth="1"/>
    <col min="2558" max="2558" width="18.69921875" style="8" customWidth="1"/>
    <col min="2559" max="2559" width="29" style="8" customWidth="1"/>
    <col min="2560" max="2560" width="9" style="8" customWidth="1"/>
    <col min="2561" max="2561" width="44.796875" style="8" customWidth="1"/>
    <col min="2562" max="2562" width="14.8984375" style="8" customWidth="1"/>
    <col min="2563" max="2563" width="13.69921875" style="8" customWidth="1"/>
    <col min="2564" max="2812" width="8.8984375" style="8"/>
    <col min="2813" max="2813" width="2.796875" style="8" customWidth="1"/>
    <col min="2814" max="2814" width="18.69921875" style="8" customWidth="1"/>
    <col min="2815" max="2815" width="29" style="8" customWidth="1"/>
    <col min="2816" max="2816" width="9" style="8" customWidth="1"/>
    <col min="2817" max="2817" width="44.796875" style="8" customWidth="1"/>
    <col min="2818" max="2818" width="14.8984375" style="8" customWidth="1"/>
    <col min="2819" max="2819" width="13.69921875" style="8" customWidth="1"/>
    <col min="2820" max="3068" width="8.8984375" style="8"/>
    <col min="3069" max="3069" width="2.796875" style="8" customWidth="1"/>
    <col min="3070" max="3070" width="18.69921875" style="8" customWidth="1"/>
    <col min="3071" max="3071" width="29" style="8" customWidth="1"/>
    <col min="3072" max="3072" width="9" style="8" customWidth="1"/>
    <col min="3073" max="3073" width="44.796875" style="8" customWidth="1"/>
    <col min="3074" max="3074" width="14.8984375" style="8" customWidth="1"/>
    <col min="3075" max="3075" width="13.69921875" style="8" customWidth="1"/>
    <col min="3076" max="3324" width="8.8984375" style="8"/>
    <col min="3325" max="3325" width="2.796875" style="8" customWidth="1"/>
    <col min="3326" max="3326" width="18.69921875" style="8" customWidth="1"/>
    <col min="3327" max="3327" width="29" style="8" customWidth="1"/>
    <col min="3328" max="3328" width="9" style="8" customWidth="1"/>
    <col min="3329" max="3329" width="44.796875" style="8" customWidth="1"/>
    <col min="3330" max="3330" width="14.8984375" style="8" customWidth="1"/>
    <col min="3331" max="3331" width="13.69921875" style="8" customWidth="1"/>
    <col min="3332" max="3580" width="8.8984375" style="8"/>
    <col min="3581" max="3581" width="2.796875" style="8" customWidth="1"/>
    <col min="3582" max="3582" width="18.69921875" style="8" customWidth="1"/>
    <col min="3583" max="3583" width="29" style="8" customWidth="1"/>
    <col min="3584" max="3584" width="9" style="8" customWidth="1"/>
    <col min="3585" max="3585" width="44.796875" style="8" customWidth="1"/>
    <col min="3586" max="3586" width="14.8984375" style="8" customWidth="1"/>
    <col min="3587" max="3587" width="13.69921875" style="8" customWidth="1"/>
    <col min="3588" max="3836" width="8.8984375" style="8"/>
    <col min="3837" max="3837" width="2.796875" style="8" customWidth="1"/>
    <col min="3838" max="3838" width="18.69921875" style="8" customWidth="1"/>
    <col min="3839" max="3839" width="29" style="8" customWidth="1"/>
    <col min="3840" max="3840" width="9" style="8" customWidth="1"/>
    <col min="3841" max="3841" width="44.796875" style="8" customWidth="1"/>
    <col min="3842" max="3842" width="14.8984375" style="8" customWidth="1"/>
    <col min="3843" max="3843" width="13.69921875" style="8" customWidth="1"/>
    <col min="3844" max="4092" width="8.8984375" style="8"/>
    <col min="4093" max="4093" width="2.796875" style="8" customWidth="1"/>
    <col min="4094" max="4094" width="18.69921875" style="8" customWidth="1"/>
    <col min="4095" max="4095" width="29" style="8" customWidth="1"/>
    <col min="4096" max="4096" width="9" style="8" customWidth="1"/>
    <col min="4097" max="4097" width="44.796875" style="8" customWidth="1"/>
    <col min="4098" max="4098" width="14.8984375" style="8" customWidth="1"/>
    <col min="4099" max="4099" width="13.69921875" style="8" customWidth="1"/>
    <col min="4100" max="4348" width="8.8984375" style="8"/>
    <col min="4349" max="4349" width="2.796875" style="8" customWidth="1"/>
    <col min="4350" max="4350" width="18.69921875" style="8" customWidth="1"/>
    <col min="4351" max="4351" width="29" style="8" customWidth="1"/>
    <col min="4352" max="4352" width="9" style="8" customWidth="1"/>
    <col min="4353" max="4353" width="44.796875" style="8" customWidth="1"/>
    <col min="4354" max="4354" width="14.8984375" style="8" customWidth="1"/>
    <col min="4355" max="4355" width="13.69921875" style="8" customWidth="1"/>
    <col min="4356" max="4604" width="8.8984375" style="8"/>
    <col min="4605" max="4605" width="2.796875" style="8" customWidth="1"/>
    <col min="4606" max="4606" width="18.69921875" style="8" customWidth="1"/>
    <col min="4607" max="4607" width="29" style="8" customWidth="1"/>
    <col min="4608" max="4608" width="9" style="8" customWidth="1"/>
    <col min="4609" max="4609" width="44.796875" style="8" customWidth="1"/>
    <col min="4610" max="4610" width="14.8984375" style="8" customWidth="1"/>
    <col min="4611" max="4611" width="13.69921875" style="8" customWidth="1"/>
    <col min="4612" max="4860" width="8.8984375" style="8"/>
    <col min="4861" max="4861" width="2.796875" style="8" customWidth="1"/>
    <col min="4862" max="4862" width="18.69921875" style="8" customWidth="1"/>
    <col min="4863" max="4863" width="29" style="8" customWidth="1"/>
    <col min="4864" max="4864" width="9" style="8" customWidth="1"/>
    <col min="4865" max="4865" width="44.796875" style="8" customWidth="1"/>
    <col min="4866" max="4866" width="14.8984375" style="8" customWidth="1"/>
    <col min="4867" max="4867" width="13.69921875" style="8" customWidth="1"/>
    <col min="4868" max="5116" width="8.8984375" style="8"/>
    <col min="5117" max="5117" width="2.796875" style="8" customWidth="1"/>
    <col min="5118" max="5118" width="18.69921875" style="8" customWidth="1"/>
    <col min="5119" max="5119" width="29" style="8" customWidth="1"/>
    <col min="5120" max="5120" width="9" style="8" customWidth="1"/>
    <col min="5121" max="5121" width="44.796875" style="8" customWidth="1"/>
    <col min="5122" max="5122" width="14.8984375" style="8" customWidth="1"/>
    <col min="5123" max="5123" width="13.69921875" style="8" customWidth="1"/>
    <col min="5124" max="5372" width="8.8984375" style="8"/>
    <col min="5373" max="5373" width="2.796875" style="8" customWidth="1"/>
    <col min="5374" max="5374" width="18.69921875" style="8" customWidth="1"/>
    <col min="5375" max="5375" width="29" style="8" customWidth="1"/>
    <col min="5376" max="5376" width="9" style="8" customWidth="1"/>
    <col min="5377" max="5377" width="44.796875" style="8" customWidth="1"/>
    <col min="5378" max="5378" width="14.8984375" style="8" customWidth="1"/>
    <col min="5379" max="5379" width="13.69921875" style="8" customWidth="1"/>
    <col min="5380" max="5628" width="8.8984375" style="8"/>
    <col min="5629" max="5629" width="2.796875" style="8" customWidth="1"/>
    <col min="5630" max="5630" width="18.69921875" style="8" customWidth="1"/>
    <col min="5631" max="5631" width="29" style="8" customWidth="1"/>
    <col min="5632" max="5632" width="9" style="8" customWidth="1"/>
    <col min="5633" max="5633" width="44.796875" style="8" customWidth="1"/>
    <col min="5634" max="5634" width="14.8984375" style="8" customWidth="1"/>
    <col min="5635" max="5635" width="13.69921875" style="8" customWidth="1"/>
    <col min="5636" max="5884" width="8.8984375" style="8"/>
    <col min="5885" max="5885" width="2.796875" style="8" customWidth="1"/>
    <col min="5886" max="5886" width="18.69921875" style="8" customWidth="1"/>
    <col min="5887" max="5887" width="29" style="8" customWidth="1"/>
    <col min="5888" max="5888" width="9" style="8" customWidth="1"/>
    <col min="5889" max="5889" width="44.796875" style="8" customWidth="1"/>
    <col min="5890" max="5890" width="14.8984375" style="8" customWidth="1"/>
    <col min="5891" max="5891" width="13.69921875" style="8" customWidth="1"/>
    <col min="5892" max="6140" width="8.8984375" style="8"/>
    <col min="6141" max="6141" width="2.796875" style="8" customWidth="1"/>
    <col min="6142" max="6142" width="18.69921875" style="8" customWidth="1"/>
    <col min="6143" max="6143" width="29" style="8" customWidth="1"/>
    <col min="6144" max="6144" width="9" style="8" customWidth="1"/>
    <col min="6145" max="6145" width="44.796875" style="8" customWidth="1"/>
    <col min="6146" max="6146" width="14.8984375" style="8" customWidth="1"/>
    <col min="6147" max="6147" width="13.69921875" style="8" customWidth="1"/>
    <col min="6148" max="6396" width="8.8984375" style="8"/>
    <col min="6397" max="6397" width="2.796875" style="8" customWidth="1"/>
    <col min="6398" max="6398" width="18.69921875" style="8" customWidth="1"/>
    <col min="6399" max="6399" width="29" style="8" customWidth="1"/>
    <col min="6400" max="6400" width="9" style="8" customWidth="1"/>
    <col min="6401" max="6401" width="44.796875" style="8" customWidth="1"/>
    <col min="6402" max="6402" width="14.8984375" style="8" customWidth="1"/>
    <col min="6403" max="6403" width="13.69921875" style="8" customWidth="1"/>
    <col min="6404" max="6652" width="8.8984375" style="8"/>
    <col min="6653" max="6653" width="2.796875" style="8" customWidth="1"/>
    <col min="6654" max="6654" width="18.69921875" style="8" customWidth="1"/>
    <col min="6655" max="6655" width="29" style="8" customWidth="1"/>
    <col min="6656" max="6656" width="9" style="8" customWidth="1"/>
    <col min="6657" max="6657" width="44.796875" style="8" customWidth="1"/>
    <col min="6658" max="6658" width="14.8984375" style="8" customWidth="1"/>
    <col min="6659" max="6659" width="13.69921875" style="8" customWidth="1"/>
    <col min="6660" max="6908" width="8.8984375" style="8"/>
    <col min="6909" max="6909" width="2.796875" style="8" customWidth="1"/>
    <col min="6910" max="6910" width="18.69921875" style="8" customWidth="1"/>
    <col min="6911" max="6911" width="29" style="8" customWidth="1"/>
    <col min="6912" max="6912" width="9" style="8" customWidth="1"/>
    <col min="6913" max="6913" width="44.796875" style="8" customWidth="1"/>
    <col min="6914" max="6914" width="14.8984375" style="8" customWidth="1"/>
    <col min="6915" max="6915" width="13.69921875" style="8" customWidth="1"/>
    <col min="6916" max="7164" width="8.8984375" style="8"/>
    <col min="7165" max="7165" width="2.796875" style="8" customWidth="1"/>
    <col min="7166" max="7166" width="18.69921875" style="8" customWidth="1"/>
    <col min="7167" max="7167" width="29" style="8" customWidth="1"/>
    <col min="7168" max="7168" width="9" style="8" customWidth="1"/>
    <col min="7169" max="7169" width="44.796875" style="8" customWidth="1"/>
    <col min="7170" max="7170" width="14.8984375" style="8" customWidth="1"/>
    <col min="7171" max="7171" width="13.69921875" style="8" customWidth="1"/>
    <col min="7172" max="7420" width="8.8984375" style="8"/>
    <col min="7421" max="7421" width="2.796875" style="8" customWidth="1"/>
    <col min="7422" max="7422" width="18.69921875" style="8" customWidth="1"/>
    <col min="7423" max="7423" width="29" style="8" customWidth="1"/>
    <col min="7424" max="7424" width="9" style="8" customWidth="1"/>
    <col min="7425" max="7425" width="44.796875" style="8" customWidth="1"/>
    <col min="7426" max="7426" width="14.8984375" style="8" customWidth="1"/>
    <col min="7427" max="7427" width="13.69921875" style="8" customWidth="1"/>
    <col min="7428" max="7676" width="8.8984375" style="8"/>
    <col min="7677" max="7677" width="2.796875" style="8" customWidth="1"/>
    <col min="7678" max="7678" width="18.69921875" style="8" customWidth="1"/>
    <col min="7679" max="7679" width="29" style="8" customWidth="1"/>
    <col min="7680" max="7680" width="9" style="8" customWidth="1"/>
    <col min="7681" max="7681" width="44.796875" style="8" customWidth="1"/>
    <col min="7682" max="7682" width="14.8984375" style="8" customWidth="1"/>
    <col min="7683" max="7683" width="13.69921875" style="8" customWidth="1"/>
    <col min="7684" max="7932" width="8.8984375" style="8"/>
    <col min="7933" max="7933" width="2.796875" style="8" customWidth="1"/>
    <col min="7934" max="7934" width="18.69921875" style="8" customWidth="1"/>
    <col min="7935" max="7935" width="29" style="8" customWidth="1"/>
    <col min="7936" max="7936" width="9" style="8" customWidth="1"/>
    <col min="7937" max="7937" width="44.796875" style="8" customWidth="1"/>
    <col min="7938" max="7938" width="14.8984375" style="8" customWidth="1"/>
    <col min="7939" max="7939" width="13.69921875" style="8" customWidth="1"/>
    <col min="7940" max="8188" width="8.8984375" style="8"/>
    <col min="8189" max="8189" width="2.796875" style="8" customWidth="1"/>
    <col min="8190" max="8190" width="18.69921875" style="8" customWidth="1"/>
    <col min="8191" max="8191" width="29" style="8" customWidth="1"/>
    <col min="8192" max="8192" width="9" style="8" customWidth="1"/>
    <col min="8193" max="8193" width="44.796875" style="8" customWidth="1"/>
    <col min="8194" max="8194" width="14.8984375" style="8" customWidth="1"/>
    <col min="8195" max="8195" width="13.69921875" style="8" customWidth="1"/>
    <col min="8196" max="8444" width="8.8984375" style="8"/>
    <col min="8445" max="8445" width="2.796875" style="8" customWidth="1"/>
    <col min="8446" max="8446" width="18.69921875" style="8" customWidth="1"/>
    <col min="8447" max="8447" width="29" style="8" customWidth="1"/>
    <col min="8448" max="8448" width="9" style="8" customWidth="1"/>
    <col min="8449" max="8449" width="44.796875" style="8" customWidth="1"/>
    <col min="8450" max="8450" width="14.8984375" style="8" customWidth="1"/>
    <col min="8451" max="8451" width="13.69921875" style="8" customWidth="1"/>
    <col min="8452" max="8700" width="8.8984375" style="8"/>
    <col min="8701" max="8701" width="2.796875" style="8" customWidth="1"/>
    <col min="8702" max="8702" width="18.69921875" style="8" customWidth="1"/>
    <col min="8703" max="8703" width="29" style="8" customWidth="1"/>
    <col min="8704" max="8704" width="9" style="8" customWidth="1"/>
    <col min="8705" max="8705" width="44.796875" style="8" customWidth="1"/>
    <col min="8706" max="8706" width="14.8984375" style="8" customWidth="1"/>
    <col min="8707" max="8707" width="13.69921875" style="8" customWidth="1"/>
    <col min="8708" max="8956" width="8.8984375" style="8"/>
    <col min="8957" max="8957" width="2.796875" style="8" customWidth="1"/>
    <col min="8958" max="8958" width="18.69921875" style="8" customWidth="1"/>
    <col min="8959" max="8959" width="29" style="8" customWidth="1"/>
    <col min="8960" max="8960" width="9" style="8" customWidth="1"/>
    <col min="8961" max="8961" width="44.796875" style="8" customWidth="1"/>
    <col min="8962" max="8962" width="14.8984375" style="8" customWidth="1"/>
    <col min="8963" max="8963" width="13.69921875" style="8" customWidth="1"/>
    <col min="8964" max="9212" width="8.8984375" style="8"/>
    <col min="9213" max="9213" width="2.796875" style="8" customWidth="1"/>
    <col min="9214" max="9214" width="18.69921875" style="8" customWidth="1"/>
    <col min="9215" max="9215" width="29" style="8" customWidth="1"/>
    <col min="9216" max="9216" width="9" style="8" customWidth="1"/>
    <col min="9217" max="9217" width="44.796875" style="8" customWidth="1"/>
    <col min="9218" max="9218" width="14.8984375" style="8" customWidth="1"/>
    <col min="9219" max="9219" width="13.69921875" style="8" customWidth="1"/>
    <col min="9220" max="9468" width="8.8984375" style="8"/>
    <col min="9469" max="9469" width="2.796875" style="8" customWidth="1"/>
    <col min="9470" max="9470" width="18.69921875" style="8" customWidth="1"/>
    <col min="9471" max="9471" width="29" style="8" customWidth="1"/>
    <col min="9472" max="9472" width="9" style="8" customWidth="1"/>
    <col min="9473" max="9473" width="44.796875" style="8" customWidth="1"/>
    <col min="9474" max="9474" width="14.8984375" style="8" customWidth="1"/>
    <col min="9475" max="9475" width="13.69921875" style="8" customWidth="1"/>
    <col min="9476" max="9724" width="8.8984375" style="8"/>
    <col min="9725" max="9725" width="2.796875" style="8" customWidth="1"/>
    <col min="9726" max="9726" width="18.69921875" style="8" customWidth="1"/>
    <col min="9727" max="9727" width="29" style="8" customWidth="1"/>
    <col min="9728" max="9728" width="9" style="8" customWidth="1"/>
    <col min="9729" max="9729" width="44.796875" style="8" customWidth="1"/>
    <col min="9730" max="9730" width="14.8984375" style="8" customWidth="1"/>
    <col min="9731" max="9731" width="13.69921875" style="8" customWidth="1"/>
    <col min="9732" max="9980" width="8.8984375" style="8"/>
    <col min="9981" max="9981" width="2.796875" style="8" customWidth="1"/>
    <col min="9982" max="9982" width="18.69921875" style="8" customWidth="1"/>
    <col min="9983" max="9983" width="29" style="8" customWidth="1"/>
    <col min="9984" max="9984" width="9" style="8" customWidth="1"/>
    <col min="9985" max="9985" width="44.796875" style="8" customWidth="1"/>
    <col min="9986" max="9986" width="14.8984375" style="8" customWidth="1"/>
    <col min="9987" max="9987" width="13.69921875" style="8" customWidth="1"/>
    <col min="9988" max="10236" width="8.8984375" style="8"/>
    <col min="10237" max="10237" width="2.796875" style="8" customWidth="1"/>
    <col min="10238" max="10238" width="18.69921875" style="8" customWidth="1"/>
    <col min="10239" max="10239" width="29" style="8" customWidth="1"/>
    <col min="10240" max="10240" width="9" style="8" customWidth="1"/>
    <col min="10241" max="10241" width="44.796875" style="8" customWidth="1"/>
    <col min="10242" max="10242" width="14.8984375" style="8" customWidth="1"/>
    <col min="10243" max="10243" width="13.69921875" style="8" customWidth="1"/>
    <col min="10244" max="10492" width="8.8984375" style="8"/>
    <col min="10493" max="10493" width="2.796875" style="8" customWidth="1"/>
    <col min="10494" max="10494" width="18.69921875" style="8" customWidth="1"/>
    <col min="10495" max="10495" width="29" style="8" customWidth="1"/>
    <col min="10496" max="10496" width="9" style="8" customWidth="1"/>
    <col min="10497" max="10497" width="44.796875" style="8" customWidth="1"/>
    <col min="10498" max="10498" width="14.8984375" style="8" customWidth="1"/>
    <col min="10499" max="10499" width="13.69921875" style="8" customWidth="1"/>
    <col min="10500" max="10748" width="8.8984375" style="8"/>
    <col min="10749" max="10749" width="2.796875" style="8" customWidth="1"/>
    <col min="10750" max="10750" width="18.69921875" style="8" customWidth="1"/>
    <col min="10751" max="10751" width="29" style="8" customWidth="1"/>
    <col min="10752" max="10752" width="9" style="8" customWidth="1"/>
    <col min="10753" max="10753" width="44.796875" style="8" customWidth="1"/>
    <col min="10754" max="10754" width="14.8984375" style="8" customWidth="1"/>
    <col min="10755" max="10755" width="13.69921875" style="8" customWidth="1"/>
    <col min="10756" max="11004" width="8.8984375" style="8"/>
    <col min="11005" max="11005" width="2.796875" style="8" customWidth="1"/>
    <col min="11006" max="11006" width="18.69921875" style="8" customWidth="1"/>
    <col min="11007" max="11007" width="29" style="8" customWidth="1"/>
    <col min="11008" max="11008" width="9" style="8" customWidth="1"/>
    <col min="11009" max="11009" width="44.796875" style="8" customWidth="1"/>
    <col min="11010" max="11010" width="14.8984375" style="8" customWidth="1"/>
    <col min="11011" max="11011" width="13.69921875" style="8" customWidth="1"/>
    <col min="11012" max="11260" width="8.8984375" style="8"/>
    <col min="11261" max="11261" width="2.796875" style="8" customWidth="1"/>
    <col min="11262" max="11262" width="18.69921875" style="8" customWidth="1"/>
    <col min="11263" max="11263" width="29" style="8" customWidth="1"/>
    <col min="11264" max="11264" width="9" style="8" customWidth="1"/>
    <col min="11265" max="11265" width="44.796875" style="8" customWidth="1"/>
    <col min="11266" max="11266" width="14.8984375" style="8" customWidth="1"/>
    <col min="11267" max="11267" width="13.69921875" style="8" customWidth="1"/>
    <col min="11268" max="11516" width="8.8984375" style="8"/>
    <col min="11517" max="11517" width="2.796875" style="8" customWidth="1"/>
    <col min="11518" max="11518" width="18.69921875" style="8" customWidth="1"/>
    <col min="11519" max="11519" width="29" style="8" customWidth="1"/>
    <col min="11520" max="11520" width="9" style="8" customWidth="1"/>
    <col min="11521" max="11521" width="44.796875" style="8" customWidth="1"/>
    <col min="11522" max="11522" width="14.8984375" style="8" customWidth="1"/>
    <col min="11523" max="11523" width="13.69921875" style="8" customWidth="1"/>
    <col min="11524" max="11772" width="8.8984375" style="8"/>
    <col min="11773" max="11773" width="2.796875" style="8" customWidth="1"/>
    <col min="11774" max="11774" width="18.69921875" style="8" customWidth="1"/>
    <col min="11775" max="11775" width="29" style="8" customWidth="1"/>
    <col min="11776" max="11776" width="9" style="8" customWidth="1"/>
    <col min="11777" max="11777" width="44.796875" style="8" customWidth="1"/>
    <col min="11778" max="11778" width="14.8984375" style="8" customWidth="1"/>
    <col min="11779" max="11779" width="13.69921875" style="8" customWidth="1"/>
    <col min="11780" max="12028" width="8.8984375" style="8"/>
    <col min="12029" max="12029" width="2.796875" style="8" customWidth="1"/>
    <col min="12030" max="12030" width="18.69921875" style="8" customWidth="1"/>
    <col min="12031" max="12031" width="29" style="8" customWidth="1"/>
    <col min="12032" max="12032" width="9" style="8" customWidth="1"/>
    <col min="12033" max="12033" width="44.796875" style="8" customWidth="1"/>
    <col min="12034" max="12034" width="14.8984375" style="8" customWidth="1"/>
    <col min="12035" max="12035" width="13.69921875" style="8" customWidth="1"/>
    <col min="12036" max="12284" width="8.8984375" style="8"/>
    <col min="12285" max="12285" width="2.796875" style="8" customWidth="1"/>
    <col min="12286" max="12286" width="18.69921875" style="8" customWidth="1"/>
    <col min="12287" max="12287" width="29" style="8" customWidth="1"/>
    <col min="12288" max="12288" width="9" style="8" customWidth="1"/>
    <col min="12289" max="12289" width="44.796875" style="8" customWidth="1"/>
    <col min="12290" max="12290" width="14.8984375" style="8" customWidth="1"/>
    <col min="12291" max="12291" width="13.69921875" style="8" customWidth="1"/>
    <col min="12292" max="12540" width="8.8984375" style="8"/>
    <col min="12541" max="12541" width="2.796875" style="8" customWidth="1"/>
    <col min="12542" max="12542" width="18.69921875" style="8" customWidth="1"/>
    <col min="12543" max="12543" width="29" style="8" customWidth="1"/>
    <col min="12544" max="12544" width="9" style="8" customWidth="1"/>
    <col min="12545" max="12545" width="44.796875" style="8" customWidth="1"/>
    <col min="12546" max="12546" width="14.8984375" style="8" customWidth="1"/>
    <col min="12547" max="12547" width="13.69921875" style="8" customWidth="1"/>
    <col min="12548" max="12796" width="8.8984375" style="8"/>
    <col min="12797" max="12797" width="2.796875" style="8" customWidth="1"/>
    <col min="12798" max="12798" width="18.69921875" style="8" customWidth="1"/>
    <col min="12799" max="12799" width="29" style="8" customWidth="1"/>
    <col min="12800" max="12800" width="9" style="8" customWidth="1"/>
    <col min="12801" max="12801" width="44.796875" style="8" customWidth="1"/>
    <col min="12802" max="12802" width="14.8984375" style="8" customWidth="1"/>
    <col min="12803" max="12803" width="13.69921875" style="8" customWidth="1"/>
    <col min="12804" max="13052" width="8.8984375" style="8"/>
    <col min="13053" max="13053" width="2.796875" style="8" customWidth="1"/>
    <col min="13054" max="13054" width="18.69921875" style="8" customWidth="1"/>
    <col min="13055" max="13055" width="29" style="8" customWidth="1"/>
    <col min="13056" max="13056" width="9" style="8" customWidth="1"/>
    <col min="13057" max="13057" width="44.796875" style="8" customWidth="1"/>
    <col min="13058" max="13058" width="14.8984375" style="8" customWidth="1"/>
    <col min="13059" max="13059" width="13.69921875" style="8" customWidth="1"/>
    <col min="13060" max="13308" width="8.8984375" style="8"/>
    <col min="13309" max="13309" width="2.796875" style="8" customWidth="1"/>
    <col min="13310" max="13310" width="18.69921875" style="8" customWidth="1"/>
    <col min="13311" max="13311" width="29" style="8" customWidth="1"/>
    <col min="13312" max="13312" width="9" style="8" customWidth="1"/>
    <col min="13313" max="13313" width="44.796875" style="8" customWidth="1"/>
    <col min="13314" max="13314" width="14.8984375" style="8" customWidth="1"/>
    <col min="13315" max="13315" width="13.69921875" style="8" customWidth="1"/>
    <col min="13316" max="13564" width="8.8984375" style="8"/>
    <col min="13565" max="13565" width="2.796875" style="8" customWidth="1"/>
    <col min="13566" max="13566" width="18.69921875" style="8" customWidth="1"/>
    <col min="13567" max="13567" width="29" style="8" customWidth="1"/>
    <col min="13568" max="13568" width="9" style="8" customWidth="1"/>
    <col min="13569" max="13569" width="44.796875" style="8" customWidth="1"/>
    <col min="13570" max="13570" width="14.8984375" style="8" customWidth="1"/>
    <col min="13571" max="13571" width="13.69921875" style="8" customWidth="1"/>
    <col min="13572" max="13820" width="8.8984375" style="8"/>
    <col min="13821" max="13821" width="2.796875" style="8" customWidth="1"/>
    <col min="13822" max="13822" width="18.69921875" style="8" customWidth="1"/>
    <col min="13823" max="13823" width="29" style="8" customWidth="1"/>
    <col min="13824" max="13824" width="9" style="8" customWidth="1"/>
    <col min="13825" max="13825" width="44.796875" style="8" customWidth="1"/>
    <col min="13826" max="13826" width="14.8984375" style="8" customWidth="1"/>
    <col min="13827" max="13827" width="13.69921875" style="8" customWidth="1"/>
    <col min="13828" max="14076" width="8.8984375" style="8"/>
    <col min="14077" max="14077" width="2.796875" style="8" customWidth="1"/>
    <col min="14078" max="14078" width="18.69921875" style="8" customWidth="1"/>
    <col min="14079" max="14079" width="29" style="8" customWidth="1"/>
    <col min="14080" max="14080" width="9" style="8" customWidth="1"/>
    <col min="14081" max="14081" width="44.796875" style="8" customWidth="1"/>
    <col min="14082" max="14082" width="14.8984375" style="8" customWidth="1"/>
    <col min="14083" max="14083" width="13.69921875" style="8" customWidth="1"/>
    <col min="14084" max="14332" width="8.8984375" style="8"/>
    <col min="14333" max="14333" width="2.796875" style="8" customWidth="1"/>
    <col min="14334" max="14334" width="18.69921875" style="8" customWidth="1"/>
    <col min="14335" max="14335" width="29" style="8" customWidth="1"/>
    <col min="14336" max="14336" width="9" style="8" customWidth="1"/>
    <col min="14337" max="14337" width="44.796875" style="8" customWidth="1"/>
    <col min="14338" max="14338" width="14.8984375" style="8" customWidth="1"/>
    <col min="14339" max="14339" width="13.69921875" style="8" customWidth="1"/>
    <col min="14340" max="14588" width="8.8984375" style="8"/>
    <col min="14589" max="14589" width="2.796875" style="8" customWidth="1"/>
    <col min="14590" max="14590" width="18.69921875" style="8" customWidth="1"/>
    <col min="14591" max="14591" width="29" style="8" customWidth="1"/>
    <col min="14592" max="14592" width="9" style="8" customWidth="1"/>
    <col min="14593" max="14593" width="44.796875" style="8" customWidth="1"/>
    <col min="14594" max="14594" width="14.8984375" style="8" customWidth="1"/>
    <col min="14595" max="14595" width="13.69921875" style="8" customWidth="1"/>
    <col min="14596" max="14844" width="8.8984375" style="8"/>
    <col min="14845" max="14845" width="2.796875" style="8" customWidth="1"/>
    <col min="14846" max="14846" width="18.69921875" style="8" customWidth="1"/>
    <col min="14847" max="14847" width="29" style="8" customWidth="1"/>
    <col min="14848" max="14848" width="9" style="8" customWidth="1"/>
    <col min="14849" max="14849" width="44.796875" style="8" customWidth="1"/>
    <col min="14850" max="14850" width="14.8984375" style="8" customWidth="1"/>
    <col min="14851" max="14851" width="13.69921875" style="8" customWidth="1"/>
    <col min="14852" max="15100" width="8.8984375" style="8"/>
    <col min="15101" max="15101" width="2.796875" style="8" customWidth="1"/>
    <col min="15102" max="15102" width="18.69921875" style="8" customWidth="1"/>
    <col min="15103" max="15103" width="29" style="8" customWidth="1"/>
    <col min="15104" max="15104" width="9" style="8" customWidth="1"/>
    <col min="15105" max="15105" width="44.796875" style="8" customWidth="1"/>
    <col min="15106" max="15106" width="14.8984375" style="8" customWidth="1"/>
    <col min="15107" max="15107" width="13.69921875" style="8" customWidth="1"/>
    <col min="15108" max="15356" width="8.8984375" style="8"/>
    <col min="15357" max="15357" width="2.796875" style="8" customWidth="1"/>
    <col min="15358" max="15358" width="18.69921875" style="8" customWidth="1"/>
    <col min="15359" max="15359" width="29" style="8" customWidth="1"/>
    <col min="15360" max="15360" width="9" style="8" customWidth="1"/>
    <col min="15361" max="15361" width="44.796875" style="8" customWidth="1"/>
    <col min="15362" max="15362" width="14.8984375" style="8" customWidth="1"/>
    <col min="15363" max="15363" width="13.69921875" style="8" customWidth="1"/>
    <col min="15364" max="15612" width="8.8984375" style="8"/>
    <col min="15613" max="15613" width="2.796875" style="8" customWidth="1"/>
    <col min="15614" max="15614" width="18.69921875" style="8" customWidth="1"/>
    <col min="15615" max="15615" width="29" style="8" customWidth="1"/>
    <col min="15616" max="15616" width="9" style="8" customWidth="1"/>
    <col min="15617" max="15617" width="44.796875" style="8" customWidth="1"/>
    <col min="15618" max="15618" width="14.8984375" style="8" customWidth="1"/>
    <col min="15619" max="15619" width="13.69921875" style="8" customWidth="1"/>
    <col min="15620" max="15868" width="8.8984375" style="8"/>
    <col min="15869" max="15869" width="2.796875" style="8" customWidth="1"/>
    <col min="15870" max="15870" width="18.69921875" style="8" customWidth="1"/>
    <col min="15871" max="15871" width="29" style="8" customWidth="1"/>
    <col min="15872" max="15872" width="9" style="8" customWidth="1"/>
    <col min="15873" max="15873" width="44.796875" style="8" customWidth="1"/>
    <col min="15874" max="15874" width="14.8984375" style="8" customWidth="1"/>
    <col min="15875" max="15875" width="13.69921875" style="8" customWidth="1"/>
    <col min="15876" max="16124" width="8.8984375" style="8"/>
    <col min="16125" max="16125" width="2.796875" style="8" customWidth="1"/>
    <col min="16126" max="16126" width="18.69921875" style="8" customWidth="1"/>
    <col min="16127" max="16127" width="29" style="8" customWidth="1"/>
    <col min="16128" max="16128" width="9" style="8" customWidth="1"/>
    <col min="16129" max="16129" width="44.796875" style="8" customWidth="1"/>
    <col min="16130" max="16130" width="14.8984375" style="8" customWidth="1"/>
    <col min="16131" max="16131" width="13.69921875" style="8" customWidth="1"/>
    <col min="16132" max="16384" width="8.8984375" style="8"/>
  </cols>
  <sheetData>
    <row r="1" spans="2:7" ht="33" customHeight="1">
      <c r="B1" s="462" t="s">
        <v>70</v>
      </c>
      <c r="C1" s="462"/>
      <c r="D1" s="462"/>
      <c r="E1" s="462"/>
      <c r="F1" s="462"/>
    </row>
    <row r="2" spans="2:7" ht="8.25" customHeight="1" thickBot="1"/>
    <row r="3" spans="2:7" ht="23.25" customHeight="1" thickBot="1">
      <c r="B3" s="463" t="s">
        <v>22</v>
      </c>
      <c r="C3" s="246"/>
      <c r="D3" s="246"/>
      <c r="E3" s="246"/>
      <c r="F3" s="246"/>
      <c r="G3" s="247"/>
    </row>
    <row r="4" spans="2:7" ht="18" customHeight="1">
      <c r="B4" s="11"/>
      <c r="C4" s="4"/>
      <c r="D4" s="12"/>
      <c r="E4" s="13"/>
      <c r="F4" s="13"/>
    </row>
    <row r="5" spans="2:7" ht="18" customHeight="1" thickBot="1">
      <c r="B5" s="5" t="s">
        <v>8</v>
      </c>
      <c r="C5" s="3"/>
      <c r="D5" s="9"/>
      <c r="E5" s="10"/>
      <c r="F5" s="10"/>
    </row>
    <row r="6" spans="2:7" ht="18" customHeight="1" thickBot="1">
      <c r="B6" s="63" t="s">
        <v>9</v>
      </c>
      <c r="C6" s="64"/>
      <c r="D6" s="65"/>
      <c r="E6" s="10"/>
      <c r="F6" s="10"/>
    </row>
    <row r="7" spans="2:7" ht="18" customHeight="1" thickBot="1">
      <c r="B7" s="72" t="s">
        <v>10</v>
      </c>
      <c r="C7" s="73" t="s">
        <v>11</v>
      </c>
      <c r="D7" s="73" t="s">
        <v>12</v>
      </c>
      <c r="E7" s="73" t="s">
        <v>13</v>
      </c>
      <c r="F7" s="73" t="s">
        <v>14</v>
      </c>
      <c r="G7" s="74" t="s">
        <v>15</v>
      </c>
    </row>
    <row r="8" spans="2:7" ht="18" customHeight="1">
      <c r="B8" s="464" t="s">
        <v>0</v>
      </c>
      <c r="C8" s="465" t="s">
        <v>1</v>
      </c>
      <c r="D8" s="466">
        <v>0.15</v>
      </c>
      <c r="E8" s="44" t="s">
        <v>29</v>
      </c>
      <c r="F8" s="38">
        <v>5</v>
      </c>
      <c r="G8" s="467"/>
    </row>
    <row r="9" spans="2:7" ht="18" customHeight="1">
      <c r="B9" s="454"/>
      <c r="C9" s="455"/>
      <c r="D9" s="448"/>
      <c r="E9" s="45" t="s">
        <v>30</v>
      </c>
      <c r="F9" s="39">
        <v>4</v>
      </c>
      <c r="G9" s="451"/>
    </row>
    <row r="10" spans="2:7" ht="18" customHeight="1">
      <c r="B10" s="454"/>
      <c r="C10" s="455"/>
      <c r="D10" s="448"/>
      <c r="E10" s="45" t="s">
        <v>31</v>
      </c>
      <c r="F10" s="39">
        <v>3</v>
      </c>
      <c r="G10" s="451"/>
    </row>
    <row r="11" spans="2:7" ht="18" customHeight="1">
      <c r="B11" s="454"/>
      <c r="C11" s="455"/>
      <c r="D11" s="448"/>
      <c r="E11" s="45" t="s">
        <v>32</v>
      </c>
      <c r="F11" s="39">
        <v>2</v>
      </c>
      <c r="G11" s="451"/>
    </row>
    <row r="12" spans="2:7" ht="18" customHeight="1">
      <c r="B12" s="454"/>
      <c r="C12" s="455"/>
      <c r="D12" s="448"/>
      <c r="E12" s="46" t="s">
        <v>33</v>
      </c>
      <c r="F12" s="40">
        <v>1</v>
      </c>
      <c r="G12" s="459"/>
    </row>
    <row r="13" spans="2:7" ht="18" customHeight="1">
      <c r="B13" s="454" t="s">
        <v>2</v>
      </c>
      <c r="C13" s="455" t="s">
        <v>34</v>
      </c>
      <c r="D13" s="448">
        <v>0.1</v>
      </c>
      <c r="E13" s="47" t="s">
        <v>35</v>
      </c>
      <c r="F13" s="41">
        <v>5</v>
      </c>
      <c r="G13" s="450"/>
    </row>
    <row r="14" spans="2:7" ht="18" customHeight="1">
      <c r="B14" s="454"/>
      <c r="C14" s="455"/>
      <c r="D14" s="448"/>
      <c r="E14" s="45" t="s">
        <v>36</v>
      </c>
      <c r="F14" s="39">
        <v>4</v>
      </c>
      <c r="G14" s="451"/>
    </row>
    <row r="15" spans="2:7" ht="18" customHeight="1">
      <c r="B15" s="454"/>
      <c r="C15" s="455"/>
      <c r="D15" s="448"/>
      <c r="E15" s="45" t="s">
        <v>37</v>
      </c>
      <c r="F15" s="39">
        <v>3</v>
      </c>
      <c r="G15" s="451"/>
    </row>
    <row r="16" spans="2:7" ht="18" customHeight="1">
      <c r="B16" s="454"/>
      <c r="C16" s="455"/>
      <c r="D16" s="448"/>
      <c r="E16" s="45" t="s">
        <v>38</v>
      </c>
      <c r="F16" s="39">
        <v>2</v>
      </c>
      <c r="G16" s="451"/>
    </row>
    <row r="17" spans="2:7" ht="18" customHeight="1">
      <c r="B17" s="454"/>
      <c r="C17" s="455"/>
      <c r="D17" s="448"/>
      <c r="E17" s="46" t="s">
        <v>39</v>
      </c>
      <c r="F17" s="40">
        <v>1</v>
      </c>
      <c r="G17" s="459"/>
    </row>
    <row r="18" spans="2:7" ht="18" customHeight="1">
      <c r="B18" s="454"/>
      <c r="C18" s="455" t="s">
        <v>40</v>
      </c>
      <c r="D18" s="448">
        <v>0.1</v>
      </c>
      <c r="E18" s="68" t="s">
        <v>41</v>
      </c>
      <c r="F18" s="41">
        <v>5</v>
      </c>
      <c r="G18" s="450"/>
    </row>
    <row r="19" spans="2:7" ht="18" customHeight="1">
      <c r="B19" s="454"/>
      <c r="C19" s="455"/>
      <c r="D19" s="448"/>
      <c r="E19" s="45" t="s">
        <v>42</v>
      </c>
      <c r="F19" s="39">
        <v>4</v>
      </c>
      <c r="G19" s="451"/>
    </row>
    <row r="20" spans="2:7" ht="18" customHeight="1">
      <c r="B20" s="454"/>
      <c r="C20" s="455"/>
      <c r="D20" s="448"/>
      <c r="E20" s="45" t="s">
        <v>43</v>
      </c>
      <c r="F20" s="39">
        <v>3</v>
      </c>
      <c r="G20" s="451"/>
    </row>
    <row r="21" spans="2:7" ht="18" customHeight="1">
      <c r="B21" s="454"/>
      <c r="C21" s="455"/>
      <c r="D21" s="448"/>
      <c r="E21" s="45" t="s">
        <v>44</v>
      </c>
      <c r="F21" s="39">
        <v>2</v>
      </c>
      <c r="G21" s="451"/>
    </row>
    <row r="22" spans="2:7" ht="18" customHeight="1">
      <c r="B22" s="454"/>
      <c r="C22" s="455"/>
      <c r="D22" s="448"/>
      <c r="E22" s="46" t="s">
        <v>45</v>
      </c>
      <c r="F22" s="40">
        <v>1</v>
      </c>
      <c r="G22" s="459"/>
    </row>
    <row r="23" spans="2:7" ht="18" customHeight="1">
      <c r="B23" s="454"/>
      <c r="C23" s="455" t="s">
        <v>46</v>
      </c>
      <c r="D23" s="448">
        <v>0.1</v>
      </c>
      <c r="E23" s="69" t="s">
        <v>47</v>
      </c>
      <c r="F23" s="41">
        <v>5</v>
      </c>
      <c r="G23" s="450"/>
    </row>
    <row r="24" spans="2:7" ht="18" customHeight="1">
      <c r="B24" s="454"/>
      <c r="C24" s="455"/>
      <c r="D24" s="448"/>
      <c r="E24" s="70" t="s">
        <v>48</v>
      </c>
      <c r="F24" s="39">
        <v>4</v>
      </c>
      <c r="G24" s="451"/>
    </row>
    <row r="25" spans="2:7" ht="18" customHeight="1">
      <c r="B25" s="454"/>
      <c r="C25" s="455"/>
      <c r="D25" s="448"/>
      <c r="E25" s="70" t="s">
        <v>49</v>
      </c>
      <c r="F25" s="39">
        <v>3</v>
      </c>
      <c r="G25" s="451"/>
    </row>
    <row r="26" spans="2:7" ht="18" customHeight="1">
      <c r="B26" s="454"/>
      <c r="C26" s="455"/>
      <c r="D26" s="448"/>
      <c r="E26" s="70" t="s">
        <v>50</v>
      </c>
      <c r="F26" s="39">
        <v>2</v>
      </c>
      <c r="G26" s="451"/>
    </row>
    <row r="27" spans="2:7" ht="18" customHeight="1">
      <c r="B27" s="454"/>
      <c r="C27" s="455"/>
      <c r="D27" s="448"/>
      <c r="E27" s="71" t="s">
        <v>51</v>
      </c>
      <c r="F27" s="40">
        <v>1</v>
      </c>
      <c r="G27" s="459"/>
    </row>
    <row r="28" spans="2:7" ht="18" customHeight="1">
      <c r="B28" s="454" t="s">
        <v>3</v>
      </c>
      <c r="C28" s="455" t="s">
        <v>52</v>
      </c>
      <c r="D28" s="448">
        <v>0.15</v>
      </c>
      <c r="E28" s="47" t="s">
        <v>53</v>
      </c>
      <c r="F28" s="41">
        <v>5</v>
      </c>
      <c r="G28" s="450"/>
    </row>
    <row r="29" spans="2:7" ht="18" customHeight="1">
      <c r="B29" s="454"/>
      <c r="C29" s="455"/>
      <c r="D29" s="448"/>
      <c r="E29" s="45" t="s">
        <v>54</v>
      </c>
      <c r="F29" s="39">
        <v>4</v>
      </c>
      <c r="G29" s="451"/>
    </row>
    <row r="30" spans="2:7" ht="18" customHeight="1">
      <c r="B30" s="454"/>
      <c r="C30" s="455"/>
      <c r="D30" s="448"/>
      <c r="E30" s="45" t="s">
        <v>55</v>
      </c>
      <c r="F30" s="39">
        <v>3</v>
      </c>
      <c r="G30" s="451"/>
    </row>
    <row r="31" spans="2:7" ht="18" customHeight="1">
      <c r="B31" s="454"/>
      <c r="C31" s="455"/>
      <c r="D31" s="448"/>
      <c r="E31" s="45" t="s">
        <v>56</v>
      </c>
      <c r="F31" s="39">
        <v>2</v>
      </c>
      <c r="G31" s="451"/>
    </row>
    <row r="32" spans="2:7" ht="18" customHeight="1" thickBot="1">
      <c r="B32" s="461"/>
      <c r="C32" s="256"/>
      <c r="D32" s="449"/>
      <c r="E32" s="48" t="s">
        <v>57</v>
      </c>
      <c r="F32" s="42">
        <v>1</v>
      </c>
      <c r="G32" s="452"/>
    </row>
    <row r="33" spans="2:7" s="60" customFormat="1" ht="46.5" customHeight="1" thickBot="1">
      <c r="B33" s="61"/>
      <c r="C33" s="62"/>
      <c r="D33" s="58"/>
      <c r="E33" s="57"/>
      <c r="F33" s="59"/>
      <c r="G33" s="59"/>
    </row>
    <row r="34" spans="2:7" ht="18" customHeight="1" thickBot="1">
      <c r="B34" s="75" t="s">
        <v>10</v>
      </c>
      <c r="C34" s="76" t="s">
        <v>11</v>
      </c>
      <c r="D34" s="76" t="s">
        <v>12</v>
      </c>
      <c r="E34" s="76" t="s">
        <v>13</v>
      </c>
      <c r="F34" s="76" t="s">
        <v>14</v>
      </c>
      <c r="G34" s="77" t="s">
        <v>15</v>
      </c>
    </row>
    <row r="35" spans="2:7" ht="18" customHeight="1">
      <c r="B35" s="453" t="s">
        <v>4</v>
      </c>
      <c r="C35" s="251" t="s">
        <v>5</v>
      </c>
      <c r="D35" s="456">
        <v>0.1</v>
      </c>
      <c r="E35" s="52" t="s">
        <v>58</v>
      </c>
      <c r="F35" s="53">
        <v>5</v>
      </c>
      <c r="G35" s="458"/>
    </row>
    <row r="36" spans="2:7" ht="18" customHeight="1">
      <c r="B36" s="454"/>
      <c r="C36" s="455"/>
      <c r="D36" s="457"/>
      <c r="E36" s="45" t="s">
        <v>59</v>
      </c>
      <c r="F36" s="39">
        <v>4</v>
      </c>
      <c r="G36" s="451"/>
    </row>
    <row r="37" spans="2:7" ht="18" customHeight="1">
      <c r="B37" s="454"/>
      <c r="C37" s="455"/>
      <c r="D37" s="457"/>
      <c r="E37" s="46" t="s">
        <v>60</v>
      </c>
      <c r="F37" s="43">
        <v>0</v>
      </c>
      <c r="G37" s="459"/>
    </row>
    <row r="38" spans="2:7" ht="18" customHeight="1">
      <c r="B38" s="454"/>
      <c r="C38" s="455" t="s">
        <v>6</v>
      </c>
      <c r="D38" s="448">
        <v>0.15</v>
      </c>
      <c r="E38" s="47" t="s">
        <v>61</v>
      </c>
      <c r="F38" s="41">
        <v>5</v>
      </c>
      <c r="G38" s="450"/>
    </row>
    <row r="39" spans="2:7" ht="18" customHeight="1">
      <c r="B39" s="454"/>
      <c r="C39" s="455"/>
      <c r="D39" s="457"/>
      <c r="E39" s="45" t="s">
        <v>62</v>
      </c>
      <c r="F39" s="39">
        <v>3</v>
      </c>
      <c r="G39" s="451"/>
    </row>
    <row r="40" spans="2:7" ht="18" customHeight="1">
      <c r="B40" s="454"/>
      <c r="C40" s="455"/>
      <c r="D40" s="457"/>
      <c r="E40" s="46" t="s">
        <v>63</v>
      </c>
      <c r="F40" s="40">
        <v>1</v>
      </c>
      <c r="G40" s="459"/>
    </row>
    <row r="41" spans="2:7" ht="18" customHeight="1">
      <c r="B41" s="454" t="s">
        <v>7</v>
      </c>
      <c r="C41" s="460" t="s">
        <v>64</v>
      </c>
      <c r="D41" s="448">
        <v>0.15</v>
      </c>
      <c r="E41" s="49" t="s">
        <v>65</v>
      </c>
      <c r="F41" s="41">
        <v>5</v>
      </c>
      <c r="G41" s="450"/>
    </row>
    <row r="42" spans="2:7" ht="18" customHeight="1">
      <c r="B42" s="454"/>
      <c r="C42" s="460"/>
      <c r="D42" s="457"/>
      <c r="E42" s="50" t="s">
        <v>66</v>
      </c>
      <c r="F42" s="39">
        <v>4</v>
      </c>
      <c r="G42" s="451"/>
    </row>
    <row r="43" spans="2:7" ht="18" customHeight="1">
      <c r="B43" s="454"/>
      <c r="C43" s="460"/>
      <c r="D43" s="457"/>
      <c r="E43" s="50" t="s">
        <v>67</v>
      </c>
      <c r="F43" s="39">
        <v>3</v>
      </c>
      <c r="G43" s="451"/>
    </row>
    <row r="44" spans="2:7" ht="18" customHeight="1">
      <c r="B44" s="454"/>
      <c r="C44" s="460"/>
      <c r="D44" s="457"/>
      <c r="E44" s="50" t="s">
        <v>68</v>
      </c>
      <c r="F44" s="39">
        <v>2</v>
      </c>
      <c r="G44" s="451"/>
    </row>
    <row r="45" spans="2:7" ht="18" customHeight="1">
      <c r="B45" s="454"/>
      <c r="C45" s="460"/>
      <c r="D45" s="457"/>
      <c r="E45" s="51" t="s">
        <v>69</v>
      </c>
      <c r="F45" s="40">
        <v>1</v>
      </c>
      <c r="G45" s="459"/>
    </row>
    <row r="46" spans="2:7" ht="18" customHeight="1">
      <c r="F46" s="66" t="s">
        <v>16</v>
      </c>
      <c r="G46" s="14">
        <f>SUMPRODUCT(D8:D45,G8:G45)</f>
        <v>0</v>
      </c>
    </row>
    <row r="47" spans="2:7" ht="18" customHeight="1" thickBot="1">
      <c r="B47" s="11"/>
      <c r="C47" s="4"/>
      <c r="D47" s="12"/>
      <c r="E47" s="13"/>
      <c r="F47" s="67" t="s">
        <v>17</v>
      </c>
      <c r="G47" s="15">
        <f>G46/5*100</f>
        <v>0</v>
      </c>
    </row>
    <row r="48" spans="2:7" s="60" customFormat="1" ht="18" customHeight="1">
      <c r="B48" s="61"/>
      <c r="C48" s="62"/>
      <c r="D48" s="58"/>
      <c r="E48" s="57"/>
      <c r="F48" s="59"/>
      <c r="G48" s="59"/>
    </row>
  </sheetData>
  <mergeCells count="31">
    <mergeCell ref="B1:F1"/>
    <mergeCell ref="B3:G3"/>
    <mergeCell ref="B8:B12"/>
    <mergeCell ref="C8:C12"/>
    <mergeCell ref="D8:D12"/>
    <mergeCell ref="G8:G12"/>
    <mergeCell ref="B41:B45"/>
    <mergeCell ref="C41:C45"/>
    <mergeCell ref="D41:D45"/>
    <mergeCell ref="G41:G45"/>
    <mergeCell ref="B13:B27"/>
    <mergeCell ref="C13:C17"/>
    <mergeCell ref="D13:D17"/>
    <mergeCell ref="G13:G17"/>
    <mergeCell ref="C18:C22"/>
    <mergeCell ref="D18:D22"/>
    <mergeCell ref="G18:G22"/>
    <mergeCell ref="C23:C27"/>
    <mergeCell ref="D23:D27"/>
    <mergeCell ref="G23:G27"/>
    <mergeCell ref="B28:B32"/>
    <mergeCell ref="C28:C32"/>
    <mergeCell ref="D28:D32"/>
    <mergeCell ref="G28:G32"/>
    <mergeCell ref="B35:B40"/>
    <mergeCell ref="C35:C37"/>
    <mergeCell ref="D35:D37"/>
    <mergeCell ref="G35:G37"/>
    <mergeCell ref="C38:C40"/>
    <mergeCell ref="D38:D40"/>
    <mergeCell ref="G38:G40"/>
  </mergeCells>
  <phoneticPr fontId="6" type="noConversion"/>
  <printOptions horizontalCentered="1"/>
  <pageMargins left="0.15748031496062992" right="0.23622047244094491" top="0.35" bottom="0.44" header="0.31496062992125984" footer="0.37"/>
  <pageSetup paperSize="9" scale="85" orientation="landscape" r:id="rId1"/>
  <headerFooter alignWithMargins="0"/>
  <rowBreaks count="1" manualBreakCount="1">
    <brk id="32" max="6" man="1"/>
  </row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1:K7"/>
  <sheetViews>
    <sheetView showGridLines="0" workbookViewId="0">
      <selection activeCell="L7" sqref="A1:L7"/>
    </sheetView>
  </sheetViews>
  <sheetFormatPr defaultRowHeight="18.75" customHeight="1"/>
  <cols>
    <col min="1" max="1" width="0.8984375" customWidth="1"/>
    <col min="2" max="2" width="3.796875" customWidth="1"/>
    <col min="3" max="11" width="6.59765625" customWidth="1"/>
    <col min="12" max="12" width="0.8984375" customWidth="1"/>
  </cols>
  <sheetData>
    <row r="1" spans="2:11" ht="5.0999999999999996" customHeight="1" thickBot="1"/>
    <row r="2" spans="2:11" ht="18.75" customHeight="1">
      <c r="B2" s="470"/>
      <c r="C2" s="471"/>
      <c r="D2" s="474" t="s">
        <v>86</v>
      </c>
      <c r="E2" s="475"/>
      <c r="F2" s="475"/>
      <c r="G2" s="475"/>
      <c r="H2" s="475"/>
      <c r="I2" s="475"/>
      <c r="J2" s="475"/>
      <c r="K2" s="476"/>
    </row>
    <row r="3" spans="2:11" ht="18.75" customHeight="1">
      <c r="B3" s="472"/>
      <c r="C3" s="473"/>
      <c r="D3" s="477" t="s">
        <v>87</v>
      </c>
      <c r="E3" s="478"/>
      <c r="F3" s="477" t="s">
        <v>88</v>
      </c>
      <c r="G3" s="478"/>
      <c r="H3" s="477" t="s">
        <v>88</v>
      </c>
      <c r="I3" s="478"/>
      <c r="J3" s="477" t="s">
        <v>91</v>
      </c>
      <c r="K3" s="479"/>
    </row>
    <row r="4" spans="2:11" ht="18.75" customHeight="1">
      <c r="B4" s="480" t="s">
        <v>89</v>
      </c>
      <c r="C4" s="481"/>
      <c r="D4" s="484"/>
      <c r="E4" s="485"/>
      <c r="F4" s="484"/>
      <c r="G4" s="485"/>
      <c r="H4" s="484"/>
      <c r="I4" s="485"/>
      <c r="J4" s="484"/>
      <c r="K4" s="488"/>
    </row>
    <row r="5" spans="2:11" ht="18.75" customHeight="1">
      <c r="B5" s="482"/>
      <c r="C5" s="483"/>
      <c r="D5" s="486"/>
      <c r="E5" s="487"/>
      <c r="F5" s="486"/>
      <c r="G5" s="487"/>
      <c r="H5" s="486"/>
      <c r="I5" s="487"/>
      <c r="J5" s="486"/>
      <c r="K5" s="489"/>
    </row>
    <row r="6" spans="2:11" ht="18.75" customHeight="1" thickBot="1">
      <c r="B6" s="491" t="s">
        <v>90</v>
      </c>
      <c r="C6" s="492"/>
      <c r="D6" s="468"/>
      <c r="E6" s="490"/>
      <c r="F6" s="468"/>
      <c r="G6" s="490"/>
      <c r="H6" s="468"/>
      <c r="I6" s="490"/>
      <c r="J6" s="468"/>
      <c r="K6" s="469"/>
    </row>
    <row r="7" spans="2:11" ht="5.0999999999999996" customHeight="1"/>
  </sheetData>
  <mergeCells count="16">
    <mergeCell ref="J6:K6"/>
    <mergeCell ref="B2:C3"/>
    <mergeCell ref="D2:K2"/>
    <mergeCell ref="D3:E3"/>
    <mergeCell ref="F3:G3"/>
    <mergeCell ref="J3:K3"/>
    <mergeCell ref="B4:C5"/>
    <mergeCell ref="D4:E5"/>
    <mergeCell ref="F4:G5"/>
    <mergeCell ref="J4:K5"/>
    <mergeCell ref="H3:I3"/>
    <mergeCell ref="H4:I5"/>
    <mergeCell ref="H6:I6"/>
    <mergeCell ref="B6:C6"/>
    <mergeCell ref="D6:E6"/>
    <mergeCell ref="F6:G6"/>
  </mergeCells>
  <phoneticPr fontId="6"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4</vt:i4>
      </vt:variant>
    </vt:vector>
  </HeadingPairs>
  <TitlesOfParts>
    <vt:vector size="11" baseType="lpstr">
      <vt:lpstr>Supplier Evaluation</vt:lpstr>
      <vt:lpstr>Process Monitoring</vt:lpstr>
      <vt:lpstr>Supplier Assessment</vt:lpstr>
      <vt:lpstr>Contractor Information</vt:lpstr>
      <vt:lpstr>HSE</vt:lpstr>
      <vt:lpstr>첨부.5 신규 공급사 평가 및 점검</vt:lpstr>
      <vt:lpstr>Sheet1</vt:lpstr>
      <vt:lpstr>HSE!Print_Area</vt:lpstr>
      <vt:lpstr>'Supplier Assessment'!Print_Area</vt:lpstr>
      <vt:lpstr>'Supplier Evaluation'!Print_Area</vt:lpstr>
      <vt:lpstr>'첨부.5 신규 공급사 평가 및 점검'!Print_Area</vt:lpstr>
    </vt:vector>
  </TitlesOfParts>
  <Company>Accenture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ho-seung.shin</dc:creator>
  <cp:lastModifiedBy>Young-Seok Noh</cp:lastModifiedBy>
  <cp:lastPrinted>2021-08-12T06:59:15Z</cp:lastPrinted>
  <dcterms:created xsi:type="dcterms:W3CDTF">2009-09-08T05:57:28Z</dcterms:created>
  <dcterms:modified xsi:type="dcterms:W3CDTF">2024-01-16T04:48:35Z</dcterms:modified>
</cp:coreProperties>
</file>